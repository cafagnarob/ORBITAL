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Task" sheetId="2" state="visible" r:id="rId4"/>
    <sheet name="Eventi" sheetId="3" state="visible" r:id="rId5"/>
    <sheet name="Riepilogo" sheetId="4" state="visible" r:id="rId6"/>
  </sheets>
  <definedNames>
    <definedName function="false" hidden="true" localSheetId="2" name="_xlnm._FilterDatabase" vbProcedure="false">Eventi!$A$1:$K$66</definedName>
    <definedName function="false" hidden="true" localSheetId="1" name="_xlnm._FilterDatabase" vbProcedure="false">Task!$A$1:$P$35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<sst xmlns="http://schemas.openxmlformats.org/spreadsheetml/2006/main" count="1062" uniqueCount="521">
  <si>
    <t xml:space="preserve">ORBITAL · Eventi e task</t>
  </si>
  <si>
    <t xml:space="preserve">Tutti gli eventi e i task che possono capitare in una partita (DESIGN v3.4). Generato dal catalogo del gioco (content/tasks.ts, content/eventi.ts, content/storia/eventi.ts, content/eventiTurno.ts).</t>
  </si>
  <si>
    <t xml:space="preserve">Fogli</t>
  </si>
  <si>
    <t xml:space="preserve">Task — i 34 task: abilità, durata, rischio, costi, resa, ricarica e condizioni di sblocco.</t>
  </si>
  <si>
    <t xml:space="preserve">Eventi — i 65 eventi: gruppo, quando possono accadere, probabilità, effetti, scelte ed esiti casuali.</t>
  </si>
  <si>
    <t xml:space="preserve">Riepilogo — conteggi per gruppo e categoria (formule: si aggiornano se modifichi i fogli).</t>
  </si>
  <si>
    <t xml:space="preserve">Come leggere</t>
  </si>
  <si>
    <t xml:space="preserve">Durata in minuti di gioco (1 minuto = 1 secondo reale). Rischio in % prima di abilità e fatica.</t>
  </si>
  <si>
    <t xml:space="preserve">Ricarica: ore prima che il task torni disponibile dopo un completamento. «una volta» = non si ripete; «sempre» = routine.</t>
  </si>
  <si>
    <t xml:space="preserve">Resa: per un successo normale (× 1,5 perfetto, × 0,5 parziale, nulla se fallisce).</t>
  </si>
  <si>
    <t xml:space="preserve">Probabilità: chance a ogni momento in cui le condizioni sono vere (es. a ogni cambio turno 10/13/16/19).</t>
  </si>
  <si>
    <t xml:space="preserve">Esiti: «peso» = quanto è probabile un esito rispetto agli altri della stessa scelta.</t>
  </si>
  <si>
    <t xml:space="preserve">Bonus = task offerto da un modulo o da un evento: se manca, la Preparazione non lo segnala.</t>
  </si>
  <si>
    <t xml:space="preserve">ID</t>
  </si>
  <si>
    <t xml:space="preserve">Nome</t>
  </si>
  <si>
    <t xml:space="preserve">Categoria</t>
  </si>
  <si>
    <t xml:space="preserve">Abilità</t>
  </si>
  <si>
    <t xml:space="preserve">Aiutante</t>
  </si>
  <si>
    <t xml:space="preserve">Luogo</t>
  </si>
  <si>
    <t xml:space="preserve">Durata (min)</t>
  </si>
  <si>
    <t xml:space="preserve">Rischio base (%)</t>
  </si>
  <si>
    <t xml:space="preserve">Costo</t>
  </si>
  <si>
    <t xml:space="preserve">Fatica</t>
  </si>
  <si>
    <t xml:space="preserve">Resa</t>
  </si>
  <si>
    <t xml:space="preserve">Ricarica (ore)</t>
  </si>
  <si>
    <t xml:space="preserve">Si sblocca</t>
  </si>
  <si>
    <t xml:space="preserve">Richiede (moduli/attrezzatura)</t>
  </si>
  <si>
    <t xml:space="preserve">Bonus</t>
  </si>
  <si>
    <t xml:space="preserve">Tag</t>
  </si>
  <si>
    <t xml:space="preserve">T-DIAGNOSTICA</t>
  </si>
  <si>
    <t xml:space="preserve">Diagnostica dei sistemi</t>
  </si>
  <si>
    <t xml:space="preserve">INGEGNERIA</t>
  </si>
  <si>
    <t xml:space="preserve">INGEGNERIA + SCIENZA</t>
  </si>
  <si>
    <t xml:space="preserve">sì</t>
  </si>
  <si>
    <t xml:space="preserve">energia −2</t>
  </si>
  <si>
    <t xml:space="preserve">POTENZA +4%</t>
  </si>
  <si>
    <t xml:space="preserve">dal primo giorno</t>
  </si>
  <si>
    <t xml:space="preserve">—</t>
  </si>
  <si>
    <t xml:space="preserve">DIAGNOSTICA</t>
  </si>
  <si>
    <t xml:space="preserve">T-MANUTENZIONE-SV</t>
  </si>
  <si>
    <t xml:space="preserve">Manutenzione del supporto vitale</t>
  </si>
  <si>
    <t xml:space="preserve">INGEGNERIA + MEDICINA</t>
  </si>
  <si>
    <t xml:space="preserve">SUPPORTO_VITALE</t>
  </si>
  <si>
    <t xml:space="preserve">energia −1</t>
  </si>
  <si>
    <t xml:space="preserve">SUPPORTO_VITALE +10%</t>
  </si>
  <si>
    <t xml:space="preserve">KIT_RIPARAZIONE</t>
  </si>
  <si>
    <t xml:space="preserve">MANUTENZIONE, SUPPORTO_VITALE</t>
  </si>
  <si>
    <t xml:space="preserve">T-CORREZIONE-ORBITA</t>
  </si>
  <si>
    <t xml:space="preserve">Correzione d'orbita</t>
  </si>
  <si>
    <t xml:space="preserve">PILOTAGGIO</t>
  </si>
  <si>
    <t xml:space="preserve">no</t>
  </si>
  <si>
    <t xml:space="preserve">COMANDO</t>
  </si>
  <si>
    <t xml:space="preserve">carburante −2</t>
  </si>
  <si>
    <t xml:space="preserve">NAVIGAZIONE +6%</t>
  </si>
  <si>
    <t xml:space="preserve">MANOVRA</t>
  </si>
  <si>
    <t xml:space="preserve">T-SCANSIONE-CRATERE</t>
  </si>
  <si>
    <t xml:space="preserve">Scansione orbitale del cratere</t>
  </si>
  <si>
    <t xml:space="preserve">SCIENZA</t>
  </si>
  <si>
    <t xml:space="preserve">SCIENZA + PILOTAGGIO</t>
  </si>
  <si>
    <t xml:space="preserve">LABORATORIO</t>
  </si>
  <si>
    <t xml:space="preserve">energia −4</t>
  </si>
  <si>
    <t xml:space="preserve">SENSORE_PROFONDO</t>
  </si>
  <si>
    <t xml:space="preserve">SCANSIONE, CRATERE</t>
  </si>
  <si>
    <t xml:space="preserve">T-ISPEZIONE-ESTERNA</t>
  </si>
  <si>
    <t xml:space="preserve">Ispezione esterna dello scafo</t>
  </si>
  <si>
    <t xml:space="preserve">EVA</t>
  </si>
  <si>
    <t xml:space="preserve">EVA + INGEGNERIA</t>
  </si>
  <si>
    <t xml:space="preserve">ESTERNO_NAVE</t>
  </si>
  <si>
    <t xml:space="preserve">energia −3</t>
  </si>
  <si>
    <t xml:space="preserve">scafo +6%</t>
  </si>
  <si>
    <t xml:space="preserve">TUTA_EVA_MK2</t>
  </si>
  <si>
    <t xml:space="preserve">EVA, SCAFO</t>
  </si>
  <si>
    <t xml:space="preserve">T-INVENTARIO</t>
  </si>
  <si>
    <t xml:space="preserve">Inventario della stiva</t>
  </si>
  <si>
    <t xml:space="preserve">GENERALE</t>
  </si>
  <si>
    <t xml:space="preserve">STOCCAGGIO</t>
  </si>
  <si>
    <t xml:space="preserve">cibo +2, acqua +2</t>
  </si>
  <si>
    <t xml:space="preserve">INVENTARIO</t>
  </si>
  <si>
    <t xml:space="preserve">T-VISITA-MEDICA</t>
  </si>
  <si>
    <t xml:space="preserve">Controllo medico della crew</t>
  </si>
  <si>
    <t xml:space="preserve">MEDICINA</t>
  </si>
  <si>
    <t xml:space="preserve">INFERMERIA</t>
  </si>
  <si>
    <t xml:space="preserve">cure +10</t>
  </si>
  <si>
    <t xml:space="preserve">T-PAUSA</t>
  </si>
  <si>
    <t xml:space="preserve">Pausa in habitat</t>
  </si>
  <si>
    <t xml:space="preserve">HABITAT</t>
  </si>
  <si>
    <t xml:space="preserve">sempre</t>
  </si>
  <si>
    <t xml:space="preserve">RIPOSO</t>
  </si>
  <si>
    <t xml:space="preserve">T-PANNELLI</t>
  </si>
  <si>
    <t xml:space="preserve">Orientamento dei pannelli solari</t>
  </si>
  <si>
    <t xml:space="preserve">INGEGNERIA + PILOTAGGIO</t>
  </si>
  <si>
    <t xml:space="preserve">energia +8</t>
  </si>
  <si>
    <t xml:space="preserve">ENERGIA</t>
  </si>
  <si>
    <t xml:space="preserve">T-RICICLO-ACQUA</t>
  </si>
  <si>
    <t xml:space="preserve">Ciclo di recupero dell'acqua</t>
  </si>
  <si>
    <t xml:space="preserve">acqua +6</t>
  </si>
  <si>
    <t xml:space="preserve">ACQUA</t>
  </si>
  <si>
    <t xml:space="preserve">T-RICOGNIZIONE-DRONE</t>
  </si>
  <si>
    <t xml:space="preserve">Ricognizione con drone</t>
  </si>
  <si>
    <t xml:space="preserve">PILOTAGGIO + SCIENZA</t>
  </si>
  <si>
    <t xml:space="preserve">energia −5</t>
  </si>
  <si>
    <t xml:space="preserve">dopo «Scansione orbitale del cratere»</t>
  </si>
  <si>
    <t xml:space="preserve">DRONE_RICOGNIZIONE</t>
  </si>
  <si>
    <t xml:space="preserve">DRONE, CRATERE</t>
  </si>
  <si>
    <t xml:space="preserve">T-ANALISI-SEGNALE</t>
  </si>
  <si>
    <t xml:space="preserve">Analisi del segnale</t>
  </si>
  <si>
    <t xml:space="preserve">SCIENZA + INGEGNERIA</t>
  </si>
  <si>
    <t xml:space="preserve">scoperta SEGNALE_RILEVATO</t>
  </si>
  <si>
    <t xml:space="preserve">LABORATORIO_AVANZATO</t>
  </si>
  <si>
    <t xml:space="preserve">SEGNALE</t>
  </si>
  <si>
    <t xml:space="preserve">T-ELETTROLISI</t>
  </si>
  <si>
    <t xml:space="preserve">Elettrolisi d'emergenza</t>
  </si>
  <si>
    <t xml:space="preserve">energia −4, acqua −3</t>
  </si>
  <si>
    <t xml:space="preserve">ossigeno +10</t>
  </si>
  <si>
    <t xml:space="preserve">dopo «Manutenzione del supporto vitale»</t>
  </si>
  <si>
    <t xml:space="preserve">OSSIGENO</t>
  </si>
  <si>
    <t xml:space="preserve">T-COLTURA</t>
  </si>
  <si>
    <t xml:space="preserve">Coltura idroponica</t>
  </si>
  <si>
    <t xml:space="preserve">SCIENZA + MEDICINA</t>
  </si>
  <si>
    <t xml:space="preserve">acqua −2, energia −1</t>
  </si>
  <si>
    <t xml:space="preserve">cibo +6</t>
  </si>
  <si>
    <t xml:space="preserve">dal giorno 2</t>
  </si>
  <si>
    <t xml:space="preserve">CIBO</t>
  </si>
  <si>
    <t xml:space="preserve">T-RAZIONAMENTO</t>
  </si>
  <si>
    <t xml:space="preserve">Piano di razionamento</t>
  </si>
  <si>
    <t xml:space="preserve">cibo +5, acqua +5</t>
  </si>
  <si>
    <t xml:space="preserve">una volta</t>
  </si>
  <si>
    <t xml:space="preserve">dopo «Inventario della stiva»</t>
  </si>
  <si>
    <t xml:space="preserve">T-RICALIBRAZIONE</t>
  </si>
  <si>
    <t xml:space="preserve">Ricalibrazione dei sensori</t>
  </si>
  <si>
    <t xml:space="preserve">SCIENZA +10%</t>
  </si>
  <si>
    <t xml:space="preserve">dopo «Diagnostica dei sistemi»; dal giorno 2</t>
  </si>
  <si>
    <t xml:space="preserve">CALIBRAZIONE</t>
  </si>
  <si>
    <t xml:space="preserve">T-CONTATTO-TERRA</t>
  </si>
  <si>
    <t xml:space="preserve">Finestra di contatto con la Terra</t>
  </si>
  <si>
    <t xml:space="preserve">COMUNICAZIONI +8%</t>
  </si>
  <si>
    <t xml:space="preserve">COMUNICAZIONI</t>
  </si>
  <si>
    <t xml:space="preserve">T-ESERCITAZIONE-EVA</t>
  </si>
  <si>
    <t xml:space="preserve">Esercitazione in airlock</t>
  </si>
  <si>
    <t xml:space="preserve">AIRLOCK</t>
  </si>
  <si>
    <t xml:space="preserve">OPERAZIONI_ESTERNE +8%</t>
  </si>
  <si>
    <t xml:space="preserve">ADDESTRAMENTO</t>
  </si>
  <si>
    <t xml:space="preserve">T-RIPARAZIONE-SCAFO</t>
  </si>
  <si>
    <t xml:space="preserve">Riparazione dello scafo</t>
  </si>
  <si>
    <t xml:space="preserve">scafo +15%</t>
  </si>
  <si>
    <t xml:space="preserve">dopo «Ispezione esterna dello scafo»</t>
  </si>
  <si>
    <t xml:space="preserve">EVA, RIPARAZIONE</t>
  </si>
  <si>
    <t xml:space="preserve">T-MANUTENZIONE-PROPULSORI</t>
  </si>
  <si>
    <t xml:space="preserve">Manutenzione dei propulsori</t>
  </si>
  <si>
    <t xml:space="preserve">PROPULSIONE</t>
  </si>
  <si>
    <t xml:space="preserve">PROPULSIONE +10%</t>
  </si>
  <si>
    <t xml:space="preserve">dal giorno 3</t>
  </si>
  <si>
    <t xml:space="preserve">MANUTENZIONE, PROPULSIONE</t>
  </si>
  <si>
    <t xml:space="preserve">T-MAPPATURA</t>
  </si>
  <si>
    <t xml:space="preserve">Mappatura completa del cratere</t>
  </si>
  <si>
    <t xml:space="preserve">NAVIGAZIONE +12%</t>
  </si>
  <si>
    <t xml:space="preserve">dopo «Scansione orbitale del cratere» ×2; dal giorno 3</t>
  </si>
  <si>
    <t xml:space="preserve">CRATERE, MAPPATURA</t>
  </si>
  <si>
    <t xml:space="preserve">T-RICICLO-POTENZIATO</t>
  </si>
  <si>
    <t xml:space="preserve">Riciclo idrico potenziato</t>
  </si>
  <si>
    <t xml:space="preserve">acqua +10</t>
  </si>
  <si>
    <t xml:space="preserve">dopo «Ciclo di recupero dell'acqua»</t>
  </si>
  <si>
    <t xml:space="preserve">POTENZIAMENTO_RICICLO_ACQUA</t>
  </si>
  <si>
    <t xml:space="preserve">T-RACCOLTA-DETRITI</t>
  </si>
  <si>
    <t xml:space="preserve">Raccolta di detriti orbitali</t>
  </si>
  <si>
    <t xml:space="preserve">PILOTAGGIO + INGEGNERIA</t>
  </si>
  <si>
    <t xml:space="preserve">carburante +4</t>
  </si>
  <si>
    <t xml:space="preserve">MODULO_MINERARIO</t>
  </si>
  <si>
    <t xml:space="preserve">MINERARIO</t>
  </si>
  <si>
    <t xml:space="preserve">T-SONDAGGIO-PROFONDO</t>
  </si>
  <si>
    <t xml:space="preserve">Sondaggio profondo della sorgente</t>
  </si>
  <si>
    <t xml:space="preserve">dopo «Analisi del segnale»</t>
  </si>
  <si>
    <t xml:space="preserve">SCANNER_SPAZIALE_PROFONDO</t>
  </si>
  <si>
    <t xml:space="preserve">SEGNALE, SONDAGGIO</t>
  </si>
  <si>
    <t xml:space="preserve">T-ANALISI-CAMPIONI</t>
  </si>
  <si>
    <t xml:space="preserve">Analisi dei campioni raccolti</t>
  </si>
  <si>
    <t xml:space="preserve">SCIENZA +6%</t>
  </si>
  <si>
    <t xml:space="preserve">uno tra: dopo «Ricognizione con drone» / dopo «Esplorazione del meteorite» / dopo «Recupero dal relitto»</t>
  </si>
  <si>
    <t xml:space="preserve">CONTENITORE_CAMPIONI</t>
  </si>
  <si>
    <t xml:space="preserve">CAMPIONI</t>
  </si>
  <si>
    <t xml:space="preserve">T-ESPLORA-METEORITE</t>
  </si>
  <si>
    <t xml:space="preserve">Esplorazione del meteorite</t>
  </si>
  <si>
    <t xml:space="preserve">EVA + SCIENZA</t>
  </si>
  <si>
    <t xml:space="preserve">entro 18 h da V05 Meteorite in avvicinamento (scelta AGGANCIA)</t>
  </si>
  <si>
    <t xml:space="preserve">EVA, METEORITE</t>
  </si>
  <si>
    <t xml:space="preserve">T-RECUPERO-RELITTO</t>
  </si>
  <si>
    <t xml:space="preserve">Recupero dal relitto</t>
  </si>
  <si>
    <t xml:space="preserve">entro 24 h da V06 Relitto alla deriva (scelta AVVICINATI)</t>
  </si>
  <si>
    <t xml:space="preserve">EVA, RELITTO</t>
  </si>
  <si>
    <t xml:space="preserve">T-RACCOLTA-GHIACCIO</t>
  </si>
  <si>
    <t xml:space="preserve">Raccolta di ghiaccio cometario</t>
  </si>
  <si>
    <t xml:space="preserve">PILOTAGGIO + EVA</t>
  </si>
  <si>
    <t xml:space="preserve">carburante −1</t>
  </si>
  <si>
    <t xml:space="preserve">acqua +14, ossigeno +4</t>
  </si>
  <si>
    <t xml:space="preserve">entro 10 h da V09 La cometa (scelta INSEGUI)</t>
  </si>
  <si>
    <t xml:space="preserve">ACQUA, COMETA</t>
  </si>
  <si>
    <t xml:space="preserve">T-RIPARA-SERBATOIO</t>
  </si>
  <si>
    <t xml:space="preserve">Riparazione del serbatoio idrico</t>
  </si>
  <si>
    <t xml:space="preserve">entro 12 h da V15 Perdita dal serbatoio</t>
  </si>
  <si>
    <t xml:space="preserve">RIPARAZIONE, ACQUA</t>
  </si>
  <si>
    <t xml:space="preserve">T-BONIFICA-DISPENSA</t>
  </si>
  <si>
    <t xml:space="preserve">Bonifica della dispensa</t>
  </si>
  <si>
    <t xml:space="preserve">MEDICINA + SCIENZA</t>
  </si>
  <si>
    <t xml:space="preserve">entro 12 h da V14 Muffa nella dispensa</t>
  </si>
  <si>
    <t xml:space="preserve">T-SOCCORSO</t>
  </si>
  <si>
    <t xml:space="preserve">Assistenza alla nave in avaria</t>
  </si>
  <si>
    <t xml:space="preserve">entro 12 h da V02 Richiesta di soccorso (scelta AIUTA)</t>
  </si>
  <si>
    <t xml:space="preserve">SOCCORSO</t>
  </si>
  <si>
    <t xml:space="preserve">T-BLINDATURA</t>
  </si>
  <si>
    <t xml:space="preserve">Blindatura dei boccaporti</t>
  </si>
  <si>
    <t xml:space="preserve">dopo V03 Predoni</t>
  </si>
  <si>
    <t xml:space="preserve">DIFESA</t>
  </si>
  <si>
    <t xml:space="preserve">T-VERIFICA-DATI</t>
  </si>
  <si>
    <t xml:space="preserve">Verifica dei dati grezzi</t>
  </si>
  <si>
    <t xml:space="preserve">contestazione aperta</t>
  </si>
  <si>
    <t xml:space="preserve">VERIFICA</t>
  </si>
  <si>
    <t xml:space="preserve">T-SBLOCCO-MANUALE</t>
  </si>
  <si>
    <t xml:space="preserve">Sblocco manuale delle porte</t>
  </si>
  <si>
    <t xml:space="preserve">scoperta BLOCCO_VALE</t>
  </si>
  <si>
    <t xml:space="preserve">SBLOCCO</t>
  </si>
  <si>
    <t xml:space="preserve">Titolo</t>
  </si>
  <si>
    <t xml:space="preserve">Gruppo</t>
  </si>
  <si>
    <t xml:space="preserve">Priorità</t>
  </si>
  <si>
    <t xml:space="preserve">Probabilità</t>
  </si>
  <si>
    <t xml:space="preserve">Una volta</t>
  </si>
  <si>
    <t xml:space="preserve">Quando può accadere</t>
  </si>
  <si>
    <t xml:space="preserve">Chi lo vive</t>
  </si>
  <si>
    <t xml:space="preserve">Effetti immediati</t>
  </si>
  <si>
    <t xml:space="preserve">Scelte del Capitano → effetti → esiti casuali</t>
  </si>
  <si>
    <t xml:space="preserve">E01</t>
  </si>
  <si>
    <t xml:space="preserve">Segnale sconosciuto</t>
  </si>
  <si>
    <t xml:space="preserve">Catena del segnale / sistema</t>
  </si>
  <si>
    <t xml:space="preserve">NARRATIVO</t>
  </si>
  <si>
    <t xml:space="preserve">IMPORTANTE</t>
  </si>
  <si>
    <t xml:space="preserve">uno tra: fine di un task SCANSIONE (riuscito) / fine di un task DRONE (riuscito) / fine di un task DIAGNOSTICA (riuscito); senza scoperta SEGNALE_RILEVATO</t>
  </si>
  <si>
    <t xml:space="preserve">• Indaga → scoperta SEGNALE_RILEVATO, energia -2, codice VL-P7-04
• Invia drone [richiede: a bordo DRONE_RICOGNIZIONE] → scoperta SEGNALE_RILEVATO, scoperta SEGNALE_DIREZIONE, energia -5
• Ignora</t>
  </si>
  <si>
    <t xml:space="preserve">E02</t>
  </si>
  <si>
    <t xml:space="preserve">Il segnale scompare</t>
  </si>
  <si>
    <t xml:space="preserve">NORMALE</t>
  </si>
  <si>
    <t xml:space="preserve">risveglio; scoperta SEGNALE_RILEVATO; senza scoperta SEGNALE_SORGENTE</t>
  </si>
  <si>
    <t xml:space="preserve">scoperta SEGNALE_SCOMPARSO</t>
  </si>
  <si>
    <t xml:space="preserve">(informativo: nessuna scelta)</t>
  </si>
  <si>
    <t xml:space="preserve">E03</t>
  </si>
  <si>
    <t xml:space="preserve">Il segnale ritorna</t>
  </si>
  <si>
    <t xml:space="preserve">risveglio; uno tra: dopo E02 Il segnale scompare / dopo E01 Segnale sconosciuto (scelta IGNORA)</t>
  </si>
  <si>
    <t xml:space="preserve">scoperta SEGNALE_RILEVATO, scoperta SEGNALE_RIATTIVATO, codice VL-P7-04</t>
  </si>
  <si>
    <t xml:space="preserve">E04</t>
  </si>
  <si>
    <t xml:space="preserve">Sorgente localizzata</t>
  </si>
  <si>
    <t xml:space="preserve">ESPLORAZIONE</t>
  </si>
  <si>
    <t xml:space="preserve">fine di un task CRATERE (riuscito); uno tra: scoperta SEGNALE_SCHEMA / scoperta SEGNALE_DIREZIONE</t>
  </si>
  <si>
    <t xml:space="preserve">scoperta SEGNALE_SORGENTE</t>
  </si>
  <si>
    <t xml:space="preserve">• Segna il cratere come obiettivo → scoperta OBIETTIVO_DISCESA
• Continua l'osservazione dall'orbita</t>
  </si>
  <si>
    <t xml:space="preserve">E06</t>
  </si>
  <si>
    <t xml:space="preserve">Geometria regolare</t>
  </si>
  <si>
    <t xml:space="preserve">SCIENTIFICO</t>
  </si>
  <si>
    <t xml:space="preserve">fine di un task CRATERE (riuscito); scoperta SEGNALE_SORGENTE</t>
  </si>
  <si>
    <t xml:space="preserve">scoperta GEOMETRIA_REGOLARE</t>
  </si>
  <si>
    <t xml:space="preserve">O01</t>
  </si>
  <si>
    <t xml:space="preserve">Impatto di microdetriti</t>
  </si>
  <si>
    <t xml:space="preserve">fine di un task EVA (fallito)</t>
  </si>
  <si>
    <t xml:space="preserve">scafo -6%, OPERAZIONI_ESTERNE -10%, fatica RESPONSABILE +15</t>
  </si>
  <si>
    <t xml:space="preserve">O02</t>
  </si>
  <si>
    <t xml:space="preserve">Dati corrotti</t>
  </si>
  <si>
    <t xml:space="preserve">SISTEMA</t>
  </si>
  <si>
    <t xml:space="preserve">uno tra: fine di un task SCANSIONE (fallito) / fine di un task SEGNALE (fallito)</t>
  </si>
  <si>
    <t xml:space="preserve">SCIENZA -12%</t>
  </si>
  <si>
    <t xml:space="preserve">O03</t>
  </si>
  <si>
    <t xml:space="preserve">Surriscaldamento</t>
  </si>
  <si>
    <t xml:space="preserve">uno tra: fine di un task DIAGNOSTICA (fallito) / fine di un task MANUTENZIONE (fallito)</t>
  </si>
  <si>
    <t xml:space="preserve">POTENZA -10%</t>
  </si>
  <si>
    <t xml:space="preserve">O04</t>
  </si>
  <si>
    <t xml:space="preserve">Manovra brusca</t>
  </si>
  <si>
    <t xml:space="preserve">fine di un task MANOVRA (fallito)</t>
  </si>
  <si>
    <t xml:space="preserve">carburante -2, NAVIGAZIONE -8%</t>
  </si>
  <si>
    <t xml:space="preserve">R01</t>
  </si>
  <si>
    <t xml:space="preserve">Schema ripetitivo</t>
  </si>
  <si>
    <t xml:space="preserve">fine di un task SEGNALE (riuscito); senza scoperta SEGNALE_SCHEMA</t>
  </si>
  <si>
    <t xml:space="preserve">scoperta SEGNALE_SCHEMA</t>
  </si>
  <si>
    <t xml:space="preserve">S01</t>
  </si>
  <si>
    <t xml:space="preserve">L'altoparlante</t>
  </si>
  <si>
    <t xml:space="preserve">Storia emergente</t>
  </si>
  <si>
    <t xml:space="preserve">EQUIPAGGIO</t>
  </si>
  <si>
    <t xml:space="preserve">risveglio; dal giorno 2</t>
  </si>
  <si>
    <t xml:space="preserve">{P}: CONTRO_VALE</t>
  </si>
  <si>
    <t xml:space="preserve">• Fallo riattaccare → fiducia PROTAGONISTA -5
• Lascia stare → tensione +1</t>
  </si>
  <si>
    <t xml:space="preserve">S02</t>
  </si>
  <si>
    <t xml:space="preserve">Conversazioni notturne</t>
  </si>
  <si>
    <t xml:space="preserve">VALE</t>
  </si>
  <si>
    <t xml:space="preserve">{P}: CON_VALE, PIU_FIDUCIOSO</t>
  </si>
  <si>
    <t xml:space="preserve">• Ascolta la registrazione → fiducia PROTAGONISTA -4 → esiti: NOSTALGIA (peso 2) | PERSUASIONE (peso 2, se direttiva NEUTRALE/IN_CONFLITTO/CONFLITTO_CRITICO: tensione +1) | MEMORIA (peso 1, se senza scoperta MEMORIA_KESTREL: codice MEM-12)
• Chiedi a {P} → fiducia PROTAGONISTA +5
• Non è affar mio</t>
  </si>
  <si>
    <t xml:space="preserve">S03</t>
  </si>
  <si>
    <t xml:space="preserve">Lite in mensa</t>
  </si>
  <si>
    <t xml:space="preserve">rapporto serale; dal giorno 2</t>
  </si>
  <si>
    <t xml:space="preserve">{P}: CONTRO_VALE · {S}: CON_VALE</t>
  </si>
  <si>
    <t xml:space="preserve">• Dai ragione a {P} → fiducia SECONDO -10, tensione +1
• Dai ragione a {S} → fiducia PROTAGONISTA +8
• Separali → fatica PROTAGONISTA +10, fatica SECONDO +10 → esiti: CALMA (peso 3) | RANCORE (peso 1: fiducia PROTAGONISTA -5)</t>
  </si>
  <si>
    <t xml:space="preserve">S04</t>
  </si>
  <si>
    <t xml:space="preserve">Insonnia</t>
  </si>
  <si>
    <t xml:space="preserve">risveglio; scoperta SEGNALE_RILEVATO</t>
  </si>
  <si>
    <t xml:space="preserve">{P}: CURIOSO</t>
  </si>
  <si>
    <t xml:space="preserve">• Lascia che lo studi → fatica PROTAGONISTA +20 → esiti: SCHEMA (peso 2, se senza scoperta SEGNALE_SCHEMA: scoperta SEGNALE_SCHEMA) | SONNO (peso 2)
• Ordina riposo → fatica PROTAGONISTA -10</t>
  </si>
  <si>
    <t xml:space="preserve">S05</t>
  </si>
  <si>
    <t xml:space="preserve">Calibrazione</t>
  </si>
  <si>
    <t xml:space="preserve">risveglio; dal giorno 2; direttiva NEUTRALE/IN_CONFLITTO/CONFLITTO_CRITICO; NON (override attivo); senza scoperta VALE_SPENTA</t>
  </si>
  <si>
    <t xml:space="preserve">• Concedi → tensione -2 → esiti: BANDA (peso 1, se direttiva IN_CONFLITTO/CONFLITTO_CRITICO) | GEOLOGIA (peso 1, se direttiva NEUTRALE)
• Nega → tensione +2</t>
  </si>
  <si>
    <t xml:space="preserve">S06</t>
  </si>
  <si>
    <t xml:space="preserve">Lo scherzo</t>
  </si>
  <si>
    <t xml:space="preserve">SFONDO</t>
  </si>
  <si>
    <t xml:space="preserve">{P}: AMANTE_DEL_RISCHIO</t>
  </si>
  <si>
    <t xml:space="preserve">• Sta' a vedere → esiti: CAPITA (peso 2, se NON (tensione ≥ 5): fiducia PROTAGONISTA +6) | GELO (peso 2, se tensione ≥ 5: fiducia PROTAGONISTA -6)
• Basta scherzi → fiducia PROTAGONISTA -3</t>
  </si>
  <si>
    <t xml:space="preserve">S07</t>
  </si>
  <si>
    <t xml:space="preserve">Turno di notte</t>
  </si>
  <si>
    <t xml:space="preserve">risveglio; autonomia V.A.L.E. ≥ 2; NON (override attivo); senza scoperta VALE_SPENTA</t>
  </si>
  <si>
    <t xml:space="preserve">{P}: CON_VALE</t>
  </si>
  <si>
    <t xml:space="preserve">fatica PROTAGONISTA +15, tensione -1</t>
  </si>
  <si>
    <t xml:space="preserve">S08</t>
  </si>
  <si>
    <t xml:space="preserve">Messaggio dalla Terra</t>
  </si>
  <si>
    <t xml:space="preserve">risveglio; dal giorno 3; NON (COMUNICAZIONI &lt; 50%)</t>
  </si>
  <si>
    <t xml:space="preserve">• Lascia fare a V.A.L.E. → tensione -1 → esiti: OMISSIS (peso 1, se scoperta SEGNALE_RILEVATO; direttiva IN_CONFLITTO/CONFLITTO_CRITICO) | REGOLARE (peso 1)
• Lo scrivo io → tensione +1 → esiti: SEGUITE_VALE (peso 1: fiducia crew +3) | SILENZIO (peso 1)</t>
  </si>
  <si>
    <t xml:space="preserve">S09</t>
  </si>
  <si>
    <t xml:space="preserve">Il diario di {P}</t>
  </si>
  <si>
    <t xml:space="preserve">rapporto serale; dal giorno 3</t>
  </si>
  <si>
    <t xml:space="preserve">{P}: INDECISO</t>
  </si>
  <si>
    <t xml:space="preserve">• Leggilo → esiti: DUBBI (peso 1, se V.A.L.E. smentita ≥ 1: fiducia PROTAGONISTA -15) | FIDUCIA (peso 1, se NON (V.A.L.E. smentita ≥ 1): fiducia PROTAGONISTA +15)
• Chiudilo senza leggere</t>
  </si>
  <si>
    <t xml:space="preserve">S10</t>
  </si>
  <si>
    <t xml:space="preserve">Il piano di {P}</t>
  </si>
  <si>
    <t xml:space="preserve">rapporto serale; V.A.L.E. smentita ≥ 1; NON (override attivo); senza scoperta VALE_SPENTA</t>
  </si>
  <si>
    <t xml:space="preserve">{P}: CONTRO_VALE, MENO_FIDUCIOSO</t>
  </si>
  <si>
    <t xml:space="preserve">• Fallo → scoperta COMPLOTTO → esiti: RIUSCITO (peso 2, se NON (autonomia V.A.L.E. ≥ 3): COMUNICAZIONI -15%, tensione +2) | SCOPERTO (peso 2: tensione +3, fiducia PROTAGONISTA -10)
• Proibiscilo → fiducia PROTAGONISTA -5</t>
  </si>
  <si>
    <t xml:space="preserve">S11</t>
  </si>
  <si>
    <t xml:space="preserve">Sabotaggio?</t>
  </si>
  <si>
    <t xml:space="preserve">risveglio; uno tra: SUPPORTO_VITALE &lt; 75% / COMUNICAZIONI &lt; 70% / NAVIGAZIONE &lt; 70% / SCIENZA &lt; 70%</t>
  </si>
  <si>
    <t xml:space="preserve">• Indaga → si assegna «Diagnostica dei sistemi» → esiti: PROVA (peso 1, se direttiva IN_CONFLITTO/CONFLITTO_CRITICO: codice ORD-01, fiducia crew -8) | NULLA (peso 2)
• Difendi V.A.L.E. → fiducia PROTAGONISTA -8, tensione -1</t>
  </si>
  <si>
    <t xml:space="preserve">S12</t>
  </si>
  <si>
    <t xml:space="preserve">Porta chiusa</t>
  </si>
  <si>
    <t xml:space="preserve">risveglio; compartimento bloccato</t>
  </si>
  <si>
    <t xml:space="preserve">{P}: INGEGNERE</t>
  </si>
  <si>
    <t xml:space="preserve">• Forzala → esiti: APERTA (peso 3: sblocca compartimenti, tensione +2) | SCARICA (peso 1: salute PROTAGONISTA -30)
• Aspetta</t>
  </si>
  <si>
    <t xml:space="preserve">S13</t>
  </si>
  <si>
    <t xml:space="preserve">Aria sottile</t>
  </si>
  <si>
    <t xml:space="preserve">rapporto serale; autonomia V.A.L.E. ≥ 4; NON (override attivo); senza scoperta VALE_SPENTA</t>
  </si>
  <si>
    <t xml:space="preserve">ossigeno -12, fatica TUTTI +10</t>
  </si>
  <si>
    <t xml:space="preserve">• Ripristina subito → esiti: OBBEDISCE (peso 1: ossigeno +8) | RIFIUTA (peso 2: tensione +1, fiducia crew -6)
• Accetta → fiducia crew -4</t>
  </si>
  <si>
    <t xml:space="preserve">S14</t>
  </si>
  <si>
    <t xml:space="preserve">Il silenzio di V.A.L.E.</t>
  </si>
  <si>
    <t xml:space="preserve">risveglio; tensione ≥ 6; NON (override attivo); senza scoperta VALE_SPENTA</t>
  </si>
  <si>
    <t xml:space="preserve">fiducia crew -3</t>
  </si>
  <si>
    <t xml:space="preserve">S15</t>
  </si>
  <si>
    <t xml:space="preserve">Ferite</t>
  </si>
  <si>
    <t xml:space="preserve">risveglio; qualcuno FERITO</t>
  </si>
  <si>
    <t xml:space="preserve">{P}: MEDICO</t>
  </si>
  <si>
    <t xml:space="preserve">• Usa il kit medico [richiede: a bordo KIT_MEDICO_CAMPO] → salute TUTTI +15
• Chiedi un protocollo a V.A.L.E. → esiti: AIUTA (peso 2, se NON (tensione ≥ 6): salute TUTTI +8, fiducia crew +3) | TRATTIENE (peso 2, se tensione ≥ 6: fiducia PROTAGONISTA -12)
• Aspettiamo</t>
  </si>
  <si>
    <t xml:space="preserve">S16</t>
  </si>
  <si>
    <t xml:space="preserve">Razionamento</t>
  </si>
  <si>
    <t xml:space="preserve">rapporto serale; cibo &lt; 25</t>
  </si>
  <si>
    <t xml:space="preserve">• Dimezza le razioni → cibo +6, fatica TUTTI +10, fiducia crew +2
• Mangiamo normalmente</t>
  </si>
  <si>
    <t xml:space="preserve">S17</t>
  </si>
  <si>
    <t xml:space="preserve">Lutto</t>
  </si>
  <si>
    <t xml:space="preserve">rapporto serale; qualcuno MORTO</t>
  </si>
  <si>
    <t xml:space="preserve">{P}: chiunque</t>
  </si>
  <si>
    <t xml:space="preserve">• Una commemorazione → fatica TUTTI -10
• È colpa di V.A.L.E. → fiducia crew -10, tensione +2</t>
  </si>
  <si>
    <t xml:space="preserve">S20</t>
  </si>
  <si>
    <t xml:space="preserve">Il Confronto</t>
  </si>
  <si>
    <t xml:space="preserve">CRITICO</t>
  </si>
  <si>
    <t xml:space="preserve">rapporto serale; dal giorno 3; uno tra: tensione ≥ 8 / V.A.L.E. smentita ≥ 2 / compartimento bloccato; ≥ 1 membri CONTRO_VALE; NON (override attivo); senza scoperta VALE_SPENTA</t>
  </si>
  <si>
    <t xml:space="preserve">{P}: CONTRO_VALE, MENO_FIDUCIOSO · {S}: PIU_FIDUCIOSO</t>
  </si>
  <si>
    <t xml:space="preserve">• Spegnete V.A.L.E. [richiede: uno tra: ≥ 2 membri CONTRO_VALE / a bordo un INGEGNERE] → esiti: SPENTA (peso 3, se ≥ 2 membri CONTRO_VALE: scoperta VALE_SPENTA, override vale) | RESISTE (peso 2, se autonomia V.A.L.E. ≥ 3: accesso, salute PROTAGONISTA -25, tensione +3) | FERMATO (peso 2, se ≥ 2 membri CON_VALE: tensione +1, fiducia SECONDO +10)
• Ci fidiamo di V.A.L.E. → fiducia crew +5, tensione -3, fiducia PROTAGONISTA -10
• Si torna a casa. Subito. [richiede: uno tra: NON (autonomia V.A.L.E. ≥ 4) / override attivo] → FINE MISSIONE (RIENTRO)</t>
  </si>
  <si>
    <t xml:space="preserve">S21</t>
  </si>
  <si>
    <t xml:space="preserve">Rimani in stazione</t>
  </si>
  <si>
    <t xml:space="preserve">rapporto serale; dal giorno 4; autonomia V.A.L.E. ≥ 4; NON (override attivo); senza scoperta VALE_SPENTA</t>
  </si>
  <si>
    <t xml:space="preserve">codice ORD-01</t>
  </si>
  <si>
    <t xml:space="preserve">• Accetta → FINE MISSIONE (CONTROLLO_VALE)
• Ammutinamento [richiede: ≥ 2 membri CONTRO_VALE] → esiti: RIUSCITO (peso 2: scoperta VALE_SPENTA, override vale) | FALLITO (peso 1, se ≥ 1 membri CON_VALE: salute TUTTI -15, FINE MISSIONE (CONTROLLO_VALE))
• Prendi tempo → tensione +1</t>
  </si>
  <si>
    <t xml:space="preserve">S22</t>
  </si>
  <si>
    <t xml:space="preserve">Finestra di rientro</t>
  </si>
  <si>
    <t xml:space="preserve">risveglio; dal giorno 8</t>
  </si>
  <si>
    <t xml:space="preserve">• Rientriamo [richiede: uno tra: NON (autonomia V.A.L.E. ≥ 4) / override attivo] → FINE MISSIONE (RIENTRO)
• Restiamo ancora</t>
  </si>
  <si>
    <t xml:space="preserve">S23</t>
  </si>
  <si>
    <t xml:space="preserve">Discussione a cena</t>
  </si>
  <si>
    <t xml:space="preserve">Opinioni su V.A.L.E.</t>
  </si>
  <si>
    <t xml:space="preserve">rapporto serale; dal giorno 2; NON (entro 72 h da S23 Discussione a cena)</t>
  </si>
  <si>
    <t xml:space="preserve">{P}: CON_VALE · {S}: CONTRO_VALE</t>
  </si>
  <si>
    <t xml:space="preserve">• Dai ragione a {P} → fiducia PROTAGONISTA +4 → esiti: CEDE (peso 2: fiducia SECONDO +8) | SI_CHIUDE (peso 2: fiducia SECONDO -6)
• Dai ragione a {S} → fiducia SECONDO -4 → esiti: CEDE (peso 2: fiducia PROTAGONISTA -8) | SI_CHIUDE (peso 2: fiducia PROTAGONISTA +6, tensione +1)
• Basta. Si mangia e si dorme → fatica PROTAGONISTA +5, fatica SECONDO +5</t>
  </si>
  <si>
    <t xml:space="preserve">S24</t>
  </si>
  <si>
    <t xml:space="preserve">Il salvataggio silenzioso</t>
  </si>
  <si>
    <t xml:space="preserve">risveglio; dal giorno 2; NON (override attivo); senza scoperta VALE_SPENTA</t>
  </si>
  <si>
    <t xml:space="preserve">fiducia PROTAGONISTA +10</t>
  </si>
  <si>
    <t xml:space="preserve">S25</t>
  </si>
  <si>
    <t xml:space="preserve">Righe mancanti</t>
  </si>
  <si>
    <t xml:space="preserve">risveglio; dal giorno 3; NON (override attivo); senza scoperta VALE_SPENTA</t>
  </si>
  <si>
    <t xml:space="preserve">• Chiedi spiegazioni a V.A.L.E. → esiti: CONVINCE (peso 2, se NON (tensione ≥ 5): fiducia crew +4) | EVADE (peso 2: fiducia PROTAGONISTA -10, fiducia crew -2)
• Tienilo tra noi → fiducia PROTAGONISTA -5</t>
  </si>
  <si>
    <t xml:space="preserve">S26</t>
  </si>
  <si>
    <t xml:space="preserve">Una voce nella notte</t>
  </si>
  <si>
    <t xml:space="preserve">risveglio</t>
  </si>
  <si>
    <t xml:space="preserve">{P}: CONTRO_VALE, affamato</t>
  </si>
  <si>
    <t xml:space="preserve">fatica PROTAGONISTA +10</t>
  </si>
  <si>
    <t xml:space="preserve">• Dai due razioni extra a {P} [richiede: NON (cibo &lt; 4)] → cibo -4, salute PROTAGONISTA +8
• Spegni gli altoparlanti dell'habitat [richiede: NON (override attivo); senza scoperta VALE_SPENTA] → fiducia PROTAGONISTA +5, tensione +1
• «È la fame che parla» → fiducia PROTAGONISTA -8</t>
  </si>
  <si>
    <t xml:space="preserve">S27</t>
  </si>
  <si>
    <t xml:space="preserve">Il sorvegliante</t>
  </si>
  <si>
    <t xml:space="preserve">risveglio; NON (override attivo); senza scoperta VALE_SPENTA</t>
  </si>
  <si>
    <t xml:space="preserve">{P}: CON_VALE, affamato · {S}: chiunque</t>
  </si>
  <si>
    <t xml:space="preserve">• Autorizza la sorveglianza → fiducia PROTAGONISTA +5, fiducia SECONDO -12 → esiti: NIENTE (peso 3: fatica SECONDO +10) | TROVATO (peso 1: cibo +4)
• «A bordo non ci si spia a vicenda» → fiducia PROTAGONISTA +6, fiducia SECONDO -3</t>
  </si>
  <si>
    <t xml:space="preserve">S28</t>
  </si>
  <si>
    <t xml:space="preserve">Il racconto di {P}</t>
  </si>
  <si>
    <t xml:space="preserve">fiducia crew +4</t>
  </si>
  <si>
    <t xml:space="preserve">S29</t>
  </si>
  <si>
    <t xml:space="preserve">La lista di {P}</t>
  </si>
  <si>
    <t xml:space="preserve">• Leggila a tutti → fiducia crew -6, tensione +1
• «Ne parliamo io e te» → fiducia PROTAGONISTA +3
• Consegna la lista a V.A.L.E. [richiede: NON (override attivo); senza scoperta VALE_SPENTA] → esiti: RISPONDE (peso 2, se NON (direttiva IN_CONFLITTO): fiducia PROTAGONISTA +10, fiducia crew +2) | TACE (peso 2: fiducia PROTAGONISTA -10, tensione +1)</t>
  </si>
  <si>
    <t xml:space="preserve">V01</t>
  </si>
  <si>
    <t xml:space="preserve">Un mercantile di passaggio</t>
  </si>
  <si>
    <t xml:space="preserve">Evento dei turni</t>
  </si>
  <si>
    <t xml:space="preserve">cambio turno; dal giorno 2</t>
  </si>
  <si>
    <t xml:space="preserve">• Cedi 3 di carburante per cibo e acqua [richiede: NON (carburante &lt; 21)] → carburante -3 → esiti: ONESTO (peso 4: cibo +10, acqua +10) | TRUFFA (peso 1: cibo +4, acqua +3)
• Cedi celle di energia per ossigeno [richiede: NON (energia &lt; 8)] → energia -8, ossigeno +12
• Lascia passare il cargo</t>
  </si>
  <si>
    <t xml:space="preserve">V02</t>
  </si>
  <si>
    <t xml:space="preserve">Richiesta di soccorso</t>
  </si>
  <si>
    <t xml:space="preserve">• Mandiamo qualcuno a bordo (apre un task per 12 ore) → fiducia crew +3
• Invia ossigeno e acqua con una capsula → ossigeno -8, acqua -6
• Non possiamo permettercelo → fiducia crew -4</t>
  </si>
  <si>
    <t xml:space="preserve">V03</t>
  </si>
  <si>
    <t xml:space="preserve">Predoni</t>
  </si>
  <si>
    <t xml:space="preserve">cambio turno; dal giorno 3</t>
  </si>
  <si>
    <t xml:space="preserve">• Cedi parte delle scorte → cibo -6, acqua -6
• Sigilla i boccaporti → esiti: RESPINTI (peso 2: fatica PROTAGONISTA +15) | FURTO (peso 2: cibo -10, carburante -4, salute PROTAGONISTA -15)
• Chiedi a V.A.L.E. di ingannare i loro sistemi [richiede: NON (override attivo); senza scoperta VALE_SPENTA] → esiti: INGANNATI (peso 3: fiducia crew +4, energia -4) | SCOPERTI (peso 1: cibo -8, energia -8, fiducia crew -3)</t>
  </si>
  <si>
    <t xml:space="preserve">V04</t>
  </si>
  <si>
    <t xml:space="preserve">Razioni sparite</t>
  </si>
  <si>
    <t xml:space="preserve">{P}: MENO_FIDUCIOSO · {S}: chiunque</t>
  </si>
  <si>
    <t xml:space="preserve">cibo -6</t>
  </si>
  <si>
    <t xml:space="preserve">• Chiedi a V.A.L.E. le registrazioni della dispensa [richiede: NON (override attivo); senza scoperta VALE_SPENTA] → esiti: COLPEVOLE (peso 2: fiducia SECONDO -8, fiducia PROTAGONISTA +5) | VUOTO (peso 1: fiducia PROTAGONISTA -10, tensione +1)
• Metti un lucchetto e chiudi la questione</t>
  </si>
  <si>
    <t xml:space="preserve">V05</t>
  </si>
  <si>
    <t xml:space="preserve">Meteorite in avvicinamento</t>
  </si>
  <si>
    <t xml:space="preserve">AMBIENTALE</t>
  </si>
  <si>
    <t xml:space="preserve">• Avvicinati per esplorarlo (task per 18 ore) [richiede: a bordo TUTA_EVA_MK2] → carburante -1
• Manovra di sicurezza → carburante -3
• Teniamo la rotta → esiti: PASSA (peso 3) | SCHEGGE (peso 1: scafo -10%, COMUNICAZIONI -10%)</t>
  </si>
  <si>
    <t xml:space="preserve">V06</t>
  </si>
  <si>
    <t xml:space="preserve">Relitto alla deriva</t>
  </si>
  <si>
    <t xml:space="preserve">• Avvicinati per recuperarlo (task per 24 ore) [richiede: a bordo TUTA_EVA_MK2] → carburante -1
• Lascialo andare</t>
  </si>
  <si>
    <t xml:space="preserve">V07</t>
  </si>
  <si>
    <t xml:space="preserve">Capsula di rifornimento</t>
  </si>
  <si>
    <t xml:space="preserve">cambio turno; dal giorno 4</t>
  </si>
  <si>
    <t xml:space="preserve">• Manovra di recupero → carburante -1 → esiti: PIENA (peso 3: cibo +10, acqua +10, ossigeno +8) | DANNEGGIATA (peso 2: cibo +5, scafo -3%) | DEVIATA (peso 2, se direttiva IN_CONFLITTO; NON (override attivo); senza scoperta VALE_SPENTA: tensione +1)
• Non sprechiamo carburante</t>
  </si>
  <si>
    <t xml:space="preserve">V08</t>
  </si>
  <si>
    <t xml:space="preserve">Sciame di micrometeoriti</t>
  </si>
  <si>
    <t xml:space="preserve">cambio turno; dal giorno 2; NON (entro 48 h da V08 Sciame di micrometeoriti)</t>
  </si>
  <si>
    <t xml:space="preserve">• Tutti nei compartimenti interni → scafo -4%, fatica TUTTI +5
• Si continua a lavorare → esiti: ILLESI (peso 2: scafo -6%) | FERITO (peso 1: scafo -8%, salute PROTAGONISTA -20)</t>
  </si>
  <si>
    <t xml:space="preserve">V09</t>
  </si>
  <si>
    <t xml:space="preserve">La cometa</t>
  </si>
  <si>
    <t xml:space="preserve">• Inseguila per raccogliere ghiaccio (task per 10 ore)
• Limitati a osservarla → SCIENZA +5%</t>
  </si>
  <si>
    <t xml:space="preserve">V10</t>
  </si>
  <si>
    <t xml:space="preserve">Tempesta solare</t>
  </si>
  <si>
    <t xml:space="preserve">cambio turno; dal giorno 2; NON (entro 48 h da V10 Tempesta solare)</t>
  </si>
  <si>
    <t xml:space="preserve">• Spegni i sistemi non essenziali → energia -4
• Apri i pannelli: è energia gratis → esiti: CARICA (peso 2: energia +15) | SOVRACCARICO (peso 1: POTENZA -15%, COMUNICAZIONI -8%)</t>
  </si>
  <si>
    <t xml:space="preserve">V11</t>
  </si>
  <si>
    <t xml:space="preserve">Contrabbandieri</t>
  </si>
  <si>
    <t xml:space="preserve">• Vendi i dati delle scansioni [richiede: dopo «Scansione orbitale del cratere»] → carburante +7, tensione +2
• Paga in acqua [richiede: NON (acqua &lt; 8)] → acqua -8, carburante +5
• Nessun affare</t>
  </si>
  <si>
    <t xml:space="preserve">V13</t>
  </si>
  <si>
    <t xml:space="preserve">Il pilota solitario</t>
  </si>
  <si>
    <t xml:space="preserve">• Ospitalo a bordo → acqua -4, cibo -2 → esiti: GRATO (peso 3: NAVIGAZIONE +10%, carburante +3) | LADRO (peso 1: carburante -5, energia -6) | INFORMATORE (peso 1, se senza scoperta MEMORIA_KESTREL: codice MEM-12)
• Niente ospiti</t>
  </si>
  <si>
    <t xml:space="preserve">V14</t>
  </si>
  <si>
    <t xml:space="preserve">Muffa nella dispensa</t>
  </si>
  <si>
    <t xml:space="preserve">V15</t>
  </si>
  <si>
    <t xml:space="preserve">Perdita dal serbatoio</t>
  </si>
  <si>
    <t xml:space="preserve">cambio turno; dal giorno 2; NON (entro 72 h da V15 Perdita dal serbatoio)</t>
  </si>
  <si>
    <t xml:space="preserve">acqua -8</t>
  </si>
  <si>
    <t xml:space="preserve">V16</t>
  </si>
  <si>
    <t xml:space="preserve">Il riciclatore d'aria tossisce</t>
  </si>
  <si>
    <t xml:space="preserve">cambio turno; dal giorno 3; NON (entro 72 h da V16 Il riciclatore d'aria tossisce)</t>
  </si>
  <si>
    <t xml:space="preserve">SUPPORTO_VITALE -12%</t>
  </si>
  <si>
    <t xml:space="preserve">V17</t>
  </si>
  <si>
    <t xml:space="preserve">I predoni tornano</t>
  </si>
  <si>
    <t xml:space="preserve">cambio turno; dopo V03 Predoni; dal giorno 5</t>
  </si>
  <si>
    <t xml:space="preserve">• Lascia che trovino le porte blindate [richiede: dopo «Blindatura dei boccaporti»]
• Cedi ciò che chiedono → cibo -10, acqua -8, carburante -3
• Resisti → esiti: RESPINTI (peso 1: fatica TUTTI +10) | SACCHEGGIO (peso 2: cibo -14, acqua -10, salute TUTTI -8)</t>
  </si>
  <si>
    <t xml:space="preserve">V18</t>
  </si>
  <si>
    <t xml:space="preserve">La Calliope ricambia</t>
  </si>
  <si>
    <t xml:space="preserve">cambio turno; dopo V02 Richiesta di soccorso (scelta RIFORNISCI); dal giorno 4</t>
  </si>
  <si>
    <t xml:space="preserve">carburante +6, cibo +6</t>
  </si>
  <si>
    <t xml:space="preserve">R02A</t>
  </si>
  <si>
    <t xml:space="preserve">La Calliope è salva</t>
  </si>
  <si>
    <t xml:space="preserve">Esito di task temporaneo</t>
  </si>
  <si>
    <t xml:space="preserve">fine di un task SOCCORSO (riuscito)</t>
  </si>
  <si>
    <t xml:space="preserve">cibo +10, acqua +6, carburante +4, fiducia crew +3</t>
  </si>
  <si>
    <t xml:space="preserve">R02B</t>
  </si>
  <si>
    <t xml:space="preserve">Era una trappola</t>
  </si>
  <si>
    <t xml:space="preserve">cibo -8, carburante -4</t>
  </si>
  <si>
    <t xml:space="preserve">R02X</t>
  </si>
  <si>
    <t xml:space="preserve">Soccorso fallito</t>
  </si>
  <si>
    <t xml:space="preserve">fine di un task SOCCORSO (fallito)</t>
  </si>
  <si>
    <t xml:space="preserve">salute RESPONSABILE -15, fiducia crew -2</t>
  </si>
  <si>
    <t xml:space="preserve">R05A</t>
  </si>
  <si>
    <t xml:space="preserve">Metalli nel meteorite</t>
  </si>
  <si>
    <t xml:space="preserve">fine di un task METEORITE (riuscito)</t>
  </si>
  <si>
    <t xml:space="preserve">carburante +6</t>
  </si>
  <si>
    <t xml:space="preserve">R05B</t>
  </si>
  <si>
    <t xml:space="preserve">Ghiaccio nel meteorite</t>
  </si>
  <si>
    <t xml:space="preserve">acqua +10, ossigeno +6</t>
  </si>
  <si>
    <t xml:space="preserve">R05C</t>
  </si>
  <si>
    <t xml:space="preserve">Cristalli</t>
  </si>
  <si>
    <t xml:space="preserve">SCIENZA +12%, fiducia crew -2</t>
  </si>
  <si>
    <t xml:space="preserve">R05X</t>
  </si>
  <si>
    <t xml:space="preserve">Il meteorite si spacca</t>
  </si>
  <si>
    <t xml:space="preserve">fine di un task METEORITE (fallito)</t>
  </si>
  <si>
    <t xml:space="preserve">salute RESPONSABILE -20, scafo -5%</t>
  </si>
  <si>
    <t xml:space="preserve">R06A</t>
  </si>
  <si>
    <t xml:space="preserve">Il carico del relitto</t>
  </si>
  <si>
    <t xml:space="preserve">fine di un task RELITTO (riuscito)</t>
  </si>
  <si>
    <t xml:space="preserve">cibo +8, acqua +6</t>
  </si>
  <si>
    <t xml:space="preserve">R06B</t>
  </si>
  <si>
    <t xml:space="preserve">Pezzi di ricambio</t>
  </si>
  <si>
    <t xml:space="preserve">SUPPORTO_VITALE +15%, scafo +8%</t>
  </si>
  <si>
    <t xml:space="preserve">R06C</t>
  </si>
  <si>
    <t xml:space="preserve">Il registro del relitto</t>
  </si>
  <si>
    <t xml:space="preserve">fine di un task RELITTO (riuscito); senza scoperta MEMORIA_KESTREL</t>
  </si>
  <si>
    <t xml:space="preserve">tensione +1, fiducia crew -4</t>
  </si>
  <si>
    <t xml:space="preserve">R06X</t>
  </si>
  <si>
    <t xml:space="preserve">Il relitto si muove</t>
  </si>
  <si>
    <t xml:space="preserve">fine di un task RELITTO (fallito)</t>
  </si>
  <si>
    <t xml:space="preserve">salute RESPONSABILE -15</t>
  </si>
  <si>
    <t xml:space="preserve">Riepilogo</t>
  </si>
  <si>
    <t xml:space="preserve">Eventi per gruppo</t>
  </si>
  <si>
    <t xml:space="preserve">Numero</t>
  </si>
  <si>
    <t xml:space="preserve">Totale eventi</t>
  </si>
  <si>
    <t xml:space="preserve">Task per categoria</t>
  </si>
  <si>
    <t xml:space="preserve">Totale task</t>
  </si>
  <si>
    <t xml:space="preserve">Task per ripetibilità</t>
  </si>
  <si>
    <t xml:space="preserve">Una volta sola</t>
  </si>
  <si>
    <t xml:space="preserve">Routine (sempre)</t>
  </si>
  <si>
    <t xml:space="preserve">Con ricarica in ore</t>
  </si>
  <si>
    <t xml:space="preserve">Disponibili dal primo giorno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</si>
</sst>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EE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8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D3A"/>
          <bgColor rgb="FF000000"/>
        </patternFill>
      </fill>
    </dxf>
    <dxf>
      <fill>
        <patternFill patternType="solid">
          <fgColor rgb="FFEEF5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5F0"/>
      <rgbColor rgb="FFCCFFFF"/>
      <rgbColor rgb="FF660066"/>
      <rgbColor rgb="FFFF8080"/>
      <rgbColor rgb="FF0066CC"/>
      <rgbColor rgb="FFC9D8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28"/>
    <col collapsed="false" customWidth="true" hidden="false" outlineLevel="0" max="12" min="12" style="0" width="11"/>
    <col collapsed="false" customWidth="true" hidden="false" outlineLevel="0" max="13" min="13" style="0" width="44"/>
    <col collapsed="false" customWidth="true" hidden="false" outlineLevel="0" max="14" min="14" style="0" width="30"/>
    <col collapsed="false" customWidth="true" hidden="false" outlineLevel="0" max="15" min="15" style="0" width="7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customFormat="false" ht="15" hidden="false" customHeight="false" outlineLevel="0" collapsed="false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31</v>
      </c>
      <c r="G2" s="5" t="n">
        <v>120</v>
      </c>
      <c r="H2" s="5" t="n">
        <v>30</v>
      </c>
      <c r="I2" s="5" t="s">
        <v>34</v>
      </c>
      <c r="J2" s="5" t="n">
        <v>10</v>
      </c>
      <c r="K2" s="5" t="s">
        <v>35</v>
      </c>
      <c r="L2" s="5" t="n">
        <v>24</v>
      </c>
      <c r="M2" s="5" t="s">
        <v>36</v>
      </c>
      <c r="N2" s="5" t="s">
        <v>37</v>
      </c>
      <c r="O2" s="5"/>
      <c r="P2" s="5" t="s">
        <v>38</v>
      </c>
    </row>
    <row r="3" customFormat="false" ht="23.85" hidden="false" customHeight="false" outlineLevel="0" collapsed="false">
      <c r="A3" s="6" t="s">
        <v>39</v>
      </c>
      <c r="B3" s="6" t="s">
        <v>40</v>
      </c>
      <c r="C3" s="6" t="s">
        <v>31</v>
      </c>
      <c r="D3" s="6" t="s">
        <v>41</v>
      </c>
      <c r="E3" s="6" t="s">
        <v>33</v>
      </c>
      <c r="F3" s="6" t="s">
        <v>42</v>
      </c>
      <c r="G3" s="6" t="n">
        <v>100</v>
      </c>
      <c r="H3" s="6" t="n">
        <v>20</v>
      </c>
      <c r="I3" s="6" t="s">
        <v>43</v>
      </c>
      <c r="J3" s="6" t="n">
        <v>10</v>
      </c>
      <c r="K3" s="6" t="s">
        <v>44</v>
      </c>
      <c r="L3" s="6" t="n">
        <v>24</v>
      </c>
      <c r="M3" s="6" t="s">
        <v>36</v>
      </c>
      <c r="N3" s="6" t="s">
        <v>45</v>
      </c>
      <c r="O3" s="6"/>
      <c r="P3" s="6" t="s">
        <v>46</v>
      </c>
    </row>
    <row r="4" customFormat="false" ht="23.85" hidden="false" customHeight="false" outlineLevel="0" collapsed="false">
      <c r="A4" s="5" t="s">
        <v>47</v>
      </c>
      <c r="B4" s="5" t="s">
        <v>48</v>
      </c>
      <c r="C4" s="5" t="s">
        <v>49</v>
      </c>
      <c r="D4" s="5" t="s">
        <v>49</v>
      </c>
      <c r="E4" s="5" t="s">
        <v>50</v>
      </c>
      <c r="F4" s="5" t="s">
        <v>51</v>
      </c>
      <c r="G4" s="5" t="n">
        <v>45</v>
      </c>
      <c r="H4" s="5" t="n">
        <v>35</v>
      </c>
      <c r="I4" s="5" t="s">
        <v>52</v>
      </c>
      <c r="J4" s="5" t="n">
        <v>8</v>
      </c>
      <c r="K4" s="5" t="s">
        <v>53</v>
      </c>
      <c r="L4" s="5" t="n">
        <v>12</v>
      </c>
      <c r="M4" s="5" t="s">
        <v>36</v>
      </c>
      <c r="N4" s="5" t="s">
        <v>37</v>
      </c>
      <c r="O4" s="5"/>
      <c r="P4" s="5" t="s">
        <v>54</v>
      </c>
    </row>
    <row r="5" customFormat="false" ht="23.85" hidden="false" customHeight="false" outlineLevel="0" collapsed="false">
      <c r="A5" s="6" t="s">
        <v>55</v>
      </c>
      <c r="B5" s="6" t="s">
        <v>56</v>
      </c>
      <c r="C5" s="6" t="s">
        <v>57</v>
      </c>
      <c r="D5" s="6" t="s">
        <v>58</v>
      </c>
      <c r="E5" s="6" t="s">
        <v>33</v>
      </c>
      <c r="F5" s="6" t="s">
        <v>59</v>
      </c>
      <c r="G5" s="6" t="n">
        <v>150</v>
      </c>
      <c r="H5" s="6" t="n">
        <v>25</v>
      </c>
      <c r="I5" s="6" t="s">
        <v>60</v>
      </c>
      <c r="J5" s="6" t="n">
        <v>12</v>
      </c>
      <c r="K5" s="6" t="s">
        <v>37</v>
      </c>
      <c r="L5" s="6" t="n">
        <v>24</v>
      </c>
      <c r="M5" s="6" t="s">
        <v>36</v>
      </c>
      <c r="N5" s="6" t="s">
        <v>61</v>
      </c>
      <c r="O5" s="6"/>
      <c r="P5" s="6" t="s">
        <v>62</v>
      </c>
    </row>
    <row r="6" customFormat="false" ht="23.85" hidden="false" customHeight="false" outlineLevel="0" collapsed="false">
      <c r="A6" s="5" t="s">
        <v>63</v>
      </c>
      <c r="B6" s="5" t="s">
        <v>64</v>
      </c>
      <c r="C6" s="5" t="s">
        <v>65</v>
      </c>
      <c r="D6" s="5" t="s">
        <v>66</v>
      </c>
      <c r="E6" s="5" t="s">
        <v>33</v>
      </c>
      <c r="F6" s="5" t="s">
        <v>67</v>
      </c>
      <c r="G6" s="5" t="n">
        <v>90</v>
      </c>
      <c r="H6" s="5" t="n">
        <v>40</v>
      </c>
      <c r="I6" s="5" t="s">
        <v>68</v>
      </c>
      <c r="J6" s="5" t="n">
        <v>20</v>
      </c>
      <c r="K6" s="5" t="s">
        <v>69</v>
      </c>
      <c r="L6" s="5" t="n">
        <v>36</v>
      </c>
      <c r="M6" s="5" t="s">
        <v>36</v>
      </c>
      <c r="N6" s="5" t="s">
        <v>70</v>
      </c>
      <c r="O6" s="5"/>
      <c r="P6" s="5" t="s">
        <v>71</v>
      </c>
    </row>
    <row r="7" customFormat="false" ht="15" hidden="false" customHeight="false" outlineLevel="0" collapsed="false">
      <c r="A7" s="6" t="s">
        <v>72</v>
      </c>
      <c r="B7" s="6" t="s">
        <v>73</v>
      </c>
      <c r="C7" s="6" t="s">
        <v>74</v>
      </c>
      <c r="D7" s="6" t="s">
        <v>31</v>
      </c>
      <c r="E7" s="6" t="s">
        <v>33</v>
      </c>
      <c r="F7" s="6" t="s">
        <v>75</v>
      </c>
      <c r="G7" s="6" t="n">
        <v>60</v>
      </c>
      <c r="H7" s="6" t="n">
        <v>10</v>
      </c>
      <c r="I7" s="6" t="s">
        <v>37</v>
      </c>
      <c r="J7" s="6" t="n">
        <v>6</v>
      </c>
      <c r="K7" s="6" t="s">
        <v>76</v>
      </c>
      <c r="L7" s="6" t="n">
        <v>48</v>
      </c>
      <c r="M7" s="6" t="s">
        <v>36</v>
      </c>
      <c r="N7" s="6" t="s">
        <v>37</v>
      </c>
      <c r="O7" s="6"/>
      <c r="P7" s="6" t="s">
        <v>77</v>
      </c>
    </row>
    <row r="8" customFormat="false" ht="15" hidden="false" customHeight="false" outlineLevel="0" collapsed="false">
      <c r="A8" s="5" t="s">
        <v>78</v>
      </c>
      <c r="B8" s="5" t="s">
        <v>79</v>
      </c>
      <c r="C8" s="5" t="s">
        <v>80</v>
      </c>
      <c r="D8" s="5" t="s">
        <v>80</v>
      </c>
      <c r="E8" s="5" t="s">
        <v>33</v>
      </c>
      <c r="F8" s="5" t="s">
        <v>81</v>
      </c>
      <c r="G8" s="5" t="n">
        <v>60</v>
      </c>
      <c r="H8" s="5" t="n">
        <v>10</v>
      </c>
      <c r="I8" s="5" t="s">
        <v>43</v>
      </c>
      <c r="J8" s="5" t="n">
        <v>6</v>
      </c>
      <c r="K8" s="5" t="s">
        <v>82</v>
      </c>
      <c r="L8" s="5" t="n">
        <v>24</v>
      </c>
      <c r="M8" s="5" t="s">
        <v>36</v>
      </c>
      <c r="N8" s="5" t="s">
        <v>37</v>
      </c>
      <c r="O8" s="5"/>
      <c r="P8" s="5" t="s">
        <v>80</v>
      </c>
    </row>
    <row r="9" customFormat="false" ht="15" hidden="false" customHeight="false" outlineLevel="0" collapsed="false">
      <c r="A9" s="6" t="s">
        <v>83</v>
      </c>
      <c r="B9" s="6" t="s">
        <v>84</v>
      </c>
      <c r="C9" s="6" t="s">
        <v>74</v>
      </c>
      <c r="D9" s="6" t="s">
        <v>80</v>
      </c>
      <c r="E9" s="6" t="s">
        <v>50</v>
      </c>
      <c r="F9" s="6" t="s">
        <v>85</v>
      </c>
      <c r="G9" s="6" t="n">
        <v>60</v>
      </c>
      <c r="H9" s="6" t="n">
        <v>0</v>
      </c>
      <c r="I9" s="6" t="s">
        <v>37</v>
      </c>
      <c r="J9" s="6" t="n">
        <v>-20</v>
      </c>
      <c r="K9" s="6" t="s">
        <v>37</v>
      </c>
      <c r="L9" s="6" t="s">
        <v>86</v>
      </c>
      <c r="M9" s="6" t="s">
        <v>36</v>
      </c>
      <c r="N9" s="6" t="s">
        <v>37</v>
      </c>
      <c r="O9" s="6"/>
      <c r="P9" s="6" t="s">
        <v>87</v>
      </c>
    </row>
    <row r="10" customFormat="false" ht="23.85" hidden="false" customHeight="false" outlineLevel="0" collapsed="false">
      <c r="A10" s="5" t="s">
        <v>88</v>
      </c>
      <c r="B10" s="5" t="s">
        <v>89</v>
      </c>
      <c r="C10" s="5" t="s">
        <v>31</v>
      </c>
      <c r="D10" s="5" t="s">
        <v>90</v>
      </c>
      <c r="E10" s="5" t="s">
        <v>33</v>
      </c>
      <c r="F10" s="5" t="s">
        <v>31</v>
      </c>
      <c r="G10" s="5" t="n">
        <v>90</v>
      </c>
      <c r="H10" s="5" t="n">
        <v>20</v>
      </c>
      <c r="I10" s="5" t="s">
        <v>37</v>
      </c>
      <c r="J10" s="5" t="n">
        <v>8</v>
      </c>
      <c r="K10" s="5" t="s">
        <v>91</v>
      </c>
      <c r="L10" s="5" t="n">
        <v>24</v>
      </c>
      <c r="M10" s="5" t="s">
        <v>36</v>
      </c>
      <c r="N10" s="5" t="s">
        <v>37</v>
      </c>
      <c r="O10" s="5"/>
      <c r="P10" s="5" t="s">
        <v>92</v>
      </c>
    </row>
    <row r="11" customFormat="false" ht="23.85" hidden="false" customHeight="false" outlineLevel="0" collapsed="false">
      <c r="A11" s="6" t="s">
        <v>93</v>
      </c>
      <c r="B11" s="6" t="s">
        <v>94</v>
      </c>
      <c r="C11" s="6" t="s">
        <v>31</v>
      </c>
      <c r="D11" s="6" t="s">
        <v>32</v>
      </c>
      <c r="E11" s="6" t="s">
        <v>33</v>
      </c>
      <c r="F11" s="6" t="s">
        <v>42</v>
      </c>
      <c r="G11" s="6" t="n">
        <v>120</v>
      </c>
      <c r="H11" s="6" t="n">
        <v>15</v>
      </c>
      <c r="I11" s="6" t="s">
        <v>34</v>
      </c>
      <c r="J11" s="6" t="n">
        <v>8</v>
      </c>
      <c r="K11" s="6" t="s">
        <v>95</v>
      </c>
      <c r="L11" s="6" t="n">
        <v>24</v>
      </c>
      <c r="M11" s="6" t="s">
        <v>36</v>
      </c>
      <c r="N11" s="6" t="s">
        <v>37</v>
      </c>
      <c r="O11" s="6"/>
      <c r="P11" s="6" t="s">
        <v>96</v>
      </c>
    </row>
    <row r="12" customFormat="false" ht="23.85" hidden="false" customHeight="false" outlineLevel="0" collapsed="false">
      <c r="A12" s="5" t="s">
        <v>97</v>
      </c>
      <c r="B12" s="5" t="s">
        <v>98</v>
      </c>
      <c r="C12" s="5" t="s">
        <v>49</v>
      </c>
      <c r="D12" s="5" t="s">
        <v>99</v>
      </c>
      <c r="E12" s="5" t="s">
        <v>33</v>
      </c>
      <c r="F12" s="5" t="s">
        <v>51</v>
      </c>
      <c r="G12" s="5" t="n">
        <v>120</v>
      </c>
      <c r="H12" s="5" t="n">
        <v>30</v>
      </c>
      <c r="I12" s="5" t="s">
        <v>100</v>
      </c>
      <c r="J12" s="5" t="n">
        <v>8</v>
      </c>
      <c r="K12" s="5" t="s">
        <v>37</v>
      </c>
      <c r="L12" s="5" t="n">
        <v>24</v>
      </c>
      <c r="M12" s="5" t="s">
        <v>101</v>
      </c>
      <c r="N12" s="5" t="s">
        <v>102</v>
      </c>
      <c r="O12" s="5"/>
      <c r="P12" s="5" t="s">
        <v>103</v>
      </c>
    </row>
    <row r="13" customFormat="false" ht="15" hidden="false" customHeight="false" outlineLevel="0" collapsed="false">
      <c r="A13" s="6" t="s">
        <v>104</v>
      </c>
      <c r="B13" s="6" t="s">
        <v>105</v>
      </c>
      <c r="C13" s="6" t="s">
        <v>57</v>
      </c>
      <c r="D13" s="6" t="s">
        <v>106</v>
      </c>
      <c r="E13" s="6" t="s">
        <v>33</v>
      </c>
      <c r="F13" s="6" t="s">
        <v>59</v>
      </c>
      <c r="G13" s="6" t="n">
        <v>180</v>
      </c>
      <c r="H13" s="6" t="n">
        <v>20</v>
      </c>
      <c r="I13" s="6" t="s">
        <v>68</v>
      </c>
      <c r="J13" s="6" t="n">
        <v>15</v>
      </c>
      <c r="K13" s="6" t="s">
        <v>37</v>
      </c>
      <c r="L13" s="6" t="n">
        <v>24</v>
      </c>
      <c r="M13" s="6" t="s">
        <v>107</v>
      </c>
      <c r="N13" s="6" t="s">
        <v>108</v>
      </c>
      <c r="O13" s="6"/>
      <c r="P13" s="6" t="s">
        <v>109</v>
      </c>
    </row>
    <row r="14" customFormat="false" ht="23.85" hidden="false" customHeight="false" outlineLevel="0" collapsed="false">
      <c r="A14" s="5" t="s">
        <v>110</v>
      </c>
      <c r="B14" s="5" t="s">
        <v>111</v>
      </c>
      <c r="C14" s="5" t="s">
        <v>57</v>
      </c>
      <c r="D14" s="5" t="s">
        <v>106</v>
      </c>
      <c r="E14" s="5" t="s">
        <v>33</v>
      </c>
      <c r="F14" s="5" t="s">
        <v>42</v>
      </c>
      <c r="G14" s="5" t="n">
        <v>120</v>
      </c>
      <c r="H14" s="5" t="n">
        <v>25</v>
      </c>
      <c r="I14" s="5" t="s">
        <v>112</v>
      </c>
      <c r="J14" s="5" t="n">
        <v>10</v>
      </c>
      <c r="K14" s="5" t="s">
        <v>113</v>
      </c>
      <c r="L14" s="5" t="n">
        <v>24</v>
      </c>
      <c r="M14" s="5" t="s">
        <v>114</v>
      </c>
      <c r="N14" s="5" t="s">
        <v>37</v>
      </c>
      <c r="O14" s="5"/>
      <c r="P14" s="5" t="s">
        <v>115</v>
      </c>
    </row>
    <row r="15" customFormat="false" ht="15" hidden="false" customHeight="false" outlineLevel="0" collapsed="false">
      <c r="A15" s="6" t="s">
        <v>116</v>
      </c>
      <c r="B15" s="6" t="s">
        <v>117</v>
      </c>
      <c r="C15" s="6" t="s">
        <v>57</v>
      </c>
      <c r="D15" s="6" t="s">
        <v>118</v>
      </c>
      <c r="E15" s="6" t="s">
        <v>33</v>
      </c>
      <c r="F15" s="6" t="s">
        <v>85</v>
      </c>
      <c r="G15" s="6" t="n">
        <v>150</v>
      </c>
      <c r="H15" s="6" t="n">
        <v>15</v>
      </c>
      <c r="I15" s="6" t="s">
        <v>119</v>
      </c>
      <c r="J15" s="6" t="n">
        <v>8</v>
      </c>
      <c r="K15" s="6" t="s">
        <v>120</v>
      </c>
      <c r="L15" s="6" t="n">
        <v>24</v>
      </c>
      <c r="M15" s="6" t="s">
        <v>121</v>
      </c>
      <c r="N15" s="6" t="s">
        <v>37</v>
      </c>
      <c r="O15" s="6"/>
      <c r="P15" s="6" t="s">
        <v>122</v>
      </c>
    </row>
    <row r="16" customFormat="false" ht="15" hidden="false" customHeight="false" outlineLevel="0" collapsed="false">
      <c r="A16" s="5" t="s">
        <v>123</v>
      </c>
      <c r="B16" s="5" t="s">
        <v>124</v>
      </c>
      <c r="C16" s="5" t="s">
        <v>80</v>
      </c>
      <c r="D16" s="5" t="s">
        <v>80</v>
      </c>
      <c r="E16" s="5" t="s">
        <v>33</v>
      </c>
      <c r="F16" s="5" t="s">
        <v>85</v>
      </c>
      <c r="G16" s="5" t="n">
        <v>90</v>
      </c>
      <c r="H16" s="5" t="n">
        <v>10</v>
      </c>
      <c r="I16" s="5" t="s">
        <v>37</v>
      </c>
      <c r="J16" s="5" t="n">
        <v>6</v>
      </c>
      <c r="K16" s="5" t="s">
        <v>125</v>
      </c>
      <c r="L16" s="5" t="s">
        <v>126</v>
      </c>
      <c r="M16" s="5" t="s">
        <v>127</v>
      </c>
      <c r="N16" s="5" t="s">
        <v>37</v>
      </c>
      <c r="O16" s="5"/>
      <c r="P16" s="5" t="s">
        <v>122</v>
      </c>
    </row>
    <row r="17" customFormat="false" ht="15" hidden="false" customHeight="false" outlineLevel="0" collapsed="false">
      <c r="A17" s="6" t="s">
        <v>128</v>
      </c>
      <c r="B17" s="6" t="s">
        <v>129</v>
      </c>
      <c r="C17" s="6" t="s">
        <v>57</v>
      </c>
      <c r="D17" s="6" t="s">
        <v>106</v>
      </c>
      <c r="E17" s="6" t="s">
        <v>33</v>
      </c>
      <c r="F17" s="6" t="s">
        <v>51</v>
      </c>
      <c r="G17" s="6" t="n">
        <v>90</v>
      </c>
      <c r="H17" s="6" t="n">
        <v>20</v>
      </c>
      <c r="I17" s="6" t="s">
        <v>34</v>
      </c>
      <c r="J17" s="6" t="n">
        <v>8</v>
      </c>
      <c r="K17" s="6" t="s">
        <v>130</v>
      </c>
      <c r="L17" s="6" t="n">
        <v>48</v>
      </c>
      <c r="M17" s="6" t="s">
        <v>131</v>
      </c>
      <c r="N17" s="6" t="s">
        <v>37</v>
      </c>
      <c r="O17" s="6"/>
      <c r="P17" s="6" t="s">
        <v>132</v>
      </c>
    </row>
    <row r="18" customFormat="false" ht="15" hidden="false" customHeight="false" outlineLevel="0" collapsed="false">
      <c r="A18" s="5" t="s">
        <v>133</v>
      </c>
      <c r="B18" s="5" t="s">
        <v>134</v>
      </c>
      <c r="C18" s="5" t="s">
        <v>49</v>
      </c>
      <c r="D18" s="5" t="s">
        <v>99</v>
      </c>
      <c r="E18" s="5" t="s">
        <v>33</v>
      </c>
      <c r="F18" s="5" t="s">
        <v>51</v>
      </c>
      <c r="G18" s="5" t="n">
        <v>60</v>
      </c>
      <c r="H18" s="5" t="n">
        <v>15</v>
      </c>
      <c r="I18" s="5" t="s">
        <v>68</v>
      </c>
      <c r="J18" s="5" t="n">
        <v>5</v>
      </c>
      <c r="K18" s="5" t="s">
        <v>135</v>
      </c>
      <c r="L18" s="5" t="n">
        <v>48</v>
      </c>
      <c r="M18" s="5" t="s">
        <v>121</v>
      </c>
      <c r="N18" s="5" t="s">
        <v>37</v>
      </c>
      <c r="O18" s="5"/>
      <c r="P18" s="5" t="s">
        <v>136</v>
      </c>
    </row>
    <row r="19" customFormat="false" ht="23.85" hidden="false" customHeight="false" outlineLevel="0" collapsed="false">
      <c r="A19" s="6" t="s">
        <v>137</v>
      </c>
      <c r="B19" s="6" t="s">
        <v>138</v>
      </c>
      <c r="C19" s="6" t="s">
        <v>65</v>
      </c>
      <c r="D19" s="6" t="s">
        <v>65</v>
      </c>
      <c r="E19" s="6" t="s">
        <v>33</v>
      </c>
      <c r="F19" s="6" t="s">
        <v>139</v>
      </c>
      <c r="G19" s="6" t="n">
        <v>60</v>
      </c>
      <c r="H19" s="6" t="n">
        <v>15</v>
      </c>
      <c r="I19" s="6" t="s">
        <v>37</v>
      </c>
      <c r="J19" s="6" t="n">
        <v>12</v>
      </c>
      <c r="K19" s="6" t="s">
        <v>140</v>
      </c>
      <c r="L19" s="6" t="n">
        <v>48</v>
      </c>
      <c r="M19" s="6" t="s">
        <v>121</v>
      </c>
      <c r="N19" s="6" t="s">
        <v>70</v>
      </c>
      <c r="O19" s="6"/>
      <c r="P19" s="6" t="s">
        <v>141</v>
      </c>
    </row>
    <row r="20" customFormat="false" ht="23.85" hidden="false" customHeight="false" outlineLevel="0" collapsed="false">
      <c r="A20" s="5" t="s">
        <v>142</v>
      </c>
      <c r="B20" s="5" t="s">
        <v>143</v>
      </c>
      <c r="C20" s="5" t="s">
        <v>65</v>
      </c>
      <c r="D20" s="5" t="s">
        <v>66</v>
      </c>
      <c r="E20" s="5" t="s">
        <v>33</v>
      </c>
      <c r="F20" s="5" t="s">
        <v>67</v>
      </c>
      <c r="G20" s="5" t="n">
        <v>150</v>
      </c>
      <c r="H20" s="5" t="n">
        <v>40</v>
      </c>
      <c r="I20" s="5" t="s">
        <v>68</v>
      </c>
      <c r="J20" s="5" t="n">
        <v>22</v>
      </c>
      <c r="K20" s="5" t="s">
        <v>144</v>
      </c>
      <c r="L20" s="5" t="n">
        <v>48</v>
      </c>
      <c r="M20" s="5" t="s">
        <v>145</v>
      </c>
      <c r="N20" s="5" t="s">
        <v>70</v>
      </c>
      <c r="O20" s="5"/>
      <c r="P20" s="5" t="s">
        <v>146</v>
      </c>
    </row>
    <row r="21" customFormat="false" ht="23.85" hidden="false" customHeight="false" outlineLevel="0" collapsed="false">
      <c r="A21" s="6" t="s">
        <v>147</v>
      </c>
      <c r="B21" s="6" t="s">
        <v>148</v>
      </c>
      <c r="C21" s="6" t="s">
        <v>31</v>
      </c>
      <c r="D21" s="6" t="s">
        <v>90</v>
      </c>
      <c r="E21" s="6" t="s">
        <v>33</v>
      </c>
      <c r="F21" s="6" t="s">
        <v>149</v>
      </c>
      <c r="G21" s="6" t="n">
        <v>120</v>
      </c>
      <c r="H21" s="6" t="n">
        <v>30</v>
      </c>
      <c r="I21" s="6" t="s">
        <v>34</v>
      </c>
      <c r="J21" s="6" t="n">
        <v>12</v>
      </c>
      <c r="K21" s="6" t="s">
        <v>150</v>
      </c>
      <c r="L21" s="6" t="n">
        <v>48</v>
      </c>
      <c r="M21" s="6" t="s">
        <v>151</v>
      </c>
      <c r="N21" s="6" t="s">
        <v>37</v>
      </c>
      <c r="O21" s="6"/>
      <c r="P21" s="6" t="s">
        <v>152</v>
      </c>
    </row>
    <row r="22" customFormat="false" ht="15" hidden="false" customHeight="false" outlineLevel="0" collapsed="false">
      <c r="A22" s="5" t="s">
        <v>153</v>
      </c>
      <c r="B22" s="5" t="s">
        <v>154</v>
      </c>
      <c r="C22" s="5" t="s">
        <v>57</v>
      </c>
      <c r="D22" s="5" t="s">
        <v>58</v>
      </c>
      <c r="E22" s="5" t="s">
        <v>33</v>
      </c>
      <c r="F22" s="5" t="s">
        <v>59</v>
      </c>
      <c r="G22" s="5" t="n">
        <v>210</v>
      </c>
      <c r="H22" s="5" t="n">
        <v>25</v>
      </c>
      <c r="I22" s="5" t="s">
        <v>100</v>
      </c>
      <c r="J22" s="5" t="n">
        <v>15</v>
      </c>
      <c r="K22" s="5" t="s">
        <v>155</v>
      </c>
      <c r="L22" s="5" t="s">
        <v>126</v>
      </c>
      <c r="M22" s="5" t="s">
        <v>156</v>
      </c>
      <c r="N22" s="5" t="s">
        <v>61</v>
      </c>
      <c r="O22" s="5"/>
      <c r="P22" s="5" t="s">
        <v>157</v>
      </c>
    </row>
    <row r="23" customFormat="false" ht="23.85" hidden="false" customHeight="false" outlineLevel="0" collapsed="false">
      <c r="A23" s="6" t="s">
        <v>158</v>
      </c>
      <c r="B23" s="6" t="s">
        <v>159</v>
      </c>
      <c r="C23" s="6" t="s">
        <v>31</v>
      </c>
      <c r="D23" s="6" t="s">
        <v>31</v>
      </c>
      <c r="E23" s="6" t="s">
        <v>33</v>
      </c>
      <c r="F23" s="6" t="s">
        <v>42</v>
      </c>
      <c r="G23" s="6" t="n">
        <v>120</v>
      </c>
      <c r="H23" s="6" t="n">
        <v>15</v>
      </c>
      <c r="I23" s="6" t="s">
        <v>34</v>
      </c>
      <c r="J23" s="6" t="n">
        <v>8</v>
      </c>
      <c r="K23" s="6" t="s">
        <v>160</v>
      </c>
      <c r="L23" s="6" t="n">
        <v>24</v>
      </c>
      <c r="M23" s="6" t="s">
        <v>161</v>
      </c>
      <c r="N23" s="6" t="s">
        <v>162</v>
      </c>
      <c r="O23" s="6" t="s">
        <v>33</v>
      </c>
      <c r="P23" s="6" t="s">
        <v>96</v>
      </c>
    </row>
    <row r="24" customFormat="false" ht="23.85" hidden="false" customHeight="false" outlineLevel="0" collapsed="false">
      <c r="A24" s="5" t="s">
        <v>163</v>
      </c>
      <c r="B24" s="5" t="s">
        <v>164</v>
      </c>
      <c r="C24" s="5" t="s">
        <v>49</v>
      </c>
      <c r="D24" s="5" t="s">
        <v>165</v>
      </c>
      <c r="E24" s="5" t="s">
        <v>33</v>
      </c>
      <c r="F24" s="5" t="s">
        <v>51</v>
      </c>
      <c r="G24" s="5" t="n">
        <v>180</v>
      </c>
      <c r="H24" s="5" t="n">
        <v>35</v>
      </c>
      <c r="I24" s="5" t="s">
        <v>68</v>
      </c>
      <c r="J24" s="5" t="n">
        <v>12</v>
      </c>
      <c r="K24" s="5" t="s">
        <v>166</v>
      </c>
      <c r="L24" s="5" t="n">
        <v>48</v>
      </c>
      <c r="M24" s="5" t="s">
        <v>151</v>
      </c>
      <c r="N24" s="5" t="s">
        <v>167</v>
      </c>
      <c r="O24" s="5" t="s">
        <v>33</v>
      </c>
      <c r="P24" s="5" t="s">
        <v>168</v>
      </c>
    </row>
    <row r="25" customFormat="false" ht="23.85" hidden="false" customHeight="false" outlineLevel="0" collapsed="false">
      <c r="A25" s="6" t="s">
        <v>169</v>
      </c>
      <c r="B25" s="6" t="s">
        <v>170</v>
      </c>
      <c r="C25" s="6" t="s">
        <v>57</v>
      </c>
      <c r="D25" s="6" t="s">
        <v>106</v>
      </c>
      <c r="E25" s="6" t="s">
        <v>33</v>
      </c>
      <c r="F25" s="6" t="s">
        <v>59</v>
      </c>
      <c r="G25" s="6" t="n">
        <v>180</v>
      </c>
      <c r="H25" s="6" t="n">
        <v>30</v>
      </c>
      <c r="I25" s="6" t="s">
        <v>100</v>
      </c>
      <c r="J25" s="6" t="n">
        <v>14</v>
      </c>
      <c r="K25" s="6" t="s">
        <v>37</v>
      </c>
      <c r="L25" s="6" t="n">
        <v>48</v>
      </c>
      <c r="M25" s="6" t="s">
        <v>171</v>
      </c>
      <c r="N25" s="6" t="s">
        <v>172</v>
      </c>
      <c r="O25" s="6" t="s">
        <v>33</v>
      </c>
      <c r="P25" s="6" t="s">
        <v>173</v>
      </c>
    </row>
    <row r="26" customFormat="false" ht="35.05" hidden="false" customHeight="false" outlineLevel="0" collapsed="false">
      <c r="A26" s="5" t="s">
        <v>174</v>
      </c>
      <c r="B26" s="5" t="s">
        <v>175</v>
      </c>
      <c r="C26" s="5" t="s">
        <v>57</v>
      </c>
      <c r="D26" s="5" t="s">
        <v>57</v>
      </c>
      <c r="E26" s="5" t="s">
        <v>33</v>
      </c>
      <c r="F26" s="5" t="s">
        <v>59</v>
      </c>
      <c r="G26" s="5" t="n">
        <v>120</v>
      </c>
      <c r="H26" s="5" t="n">
        <v>15</v>
      </c>
      <c r="I26" s="5" t="s">
        <v>34</v>
      </c>
      <c r="J26" s="5" t="n">
        <v>8</v>
      </c>
      <c r="K26" s="5" t="s">
        <v>176</v>
      </c>
      <c r="L26" s="5" t="n">
        <v>24</v>
      </c>
      <c r="M26" s="5" t="s">
        <v>177</v>
      </c>
      <c r="N26" s="5" t="s">
        <v>178</v>
      </c>
      <c r="O26" s="5" t="s">
        <v>33</v>
      </c>
      <c r="P26" s="5" t="s">
        <v>179</v>
      </c>
    </row>
    <row r="27" customFormat="false" ht="23.85" hidden="false" customHeight="false" outlineLevel="0" collapsed="false">
      <c r="A27" s="6" t="s">
        <v>180</v>
      </c>
      <c r="B27" s="6" t="s">
        <v>181</v>
      </c>
      <c r="C27" s="6" t="s">
        <v>65</v>
      </c>
      <c r="D27" s="6" t="s">
        <v>182</v>
      </c>
      <c r="E27" s="6" t="s">
        <v>33</v>
      </c>
      <c r="F27" s="6" t="s">
        <v>67</v>
      </c>
      <c r="G27" s="6" t="n">
        <v>180</v>
      </c>
      <c r="H27" s="6" t="n">
        <v>45</v>
      </c>
      <c r="I27" s="6" t="s">
        <v>68</v>
      </c>
      <c r="J27" s="6" t="n">
        <v>22</v>
      </c>
      <c r="K27" s="6" t="s">
        <v>95</v>
      </c>
      <c r="L27" s="6" t="s">
        <v>126</v>
      </c>
      <c r="M27" s="6" t="s">
        <v>183</v>
      </c>
      <c r="N27" s="6" t="s">
        <v>70</v>
      </c>
      <c r="O27" s="6" t="s">
        <v>33</v>
      </c>
      <c r="P27" s="6" t="s">
        <v>184</v>
      </c>
    </row>
    <row r="28" customFormat="false" ht="23.85" hidden="false" customHeight="false" outlineLevel="0" collapsed="false">
      <c r="A28" s="5" t="s">
        <v>185</v>
      </c>
      <c r="B28" s="5" t="s">
        <v>186</v>
      </c>
      <c r="C28" s="5" t="s">
        <v>65</v>
      </c>
      <c r="D28" s="5" t="s">
        <v>66</v>
      </c>
      <c r="E28" s="5" t="s">
        <v>33</v>
      </c>
      <c r="F28" s="5" t="s">
        <v>67</v>
      </c>
      <c r="G28" s="5" t="n">
        <v>180</v>
      </c>
      <c r="H28" s="5" t="n">
        <v>40</v>
      </c>
      <c r="I28" s="5" t="s">
        <v>34</v>
      </c>
      <c r="J28" s="5" t="n">
        <v>20</v>
      </c>
      <c r="K28" s="5" t="s">
        <v>37</v>
      </c>
      <c r="L28" s="5" t="s">
        <v>126</v>
      </c>
      <c r="M28" s="5" t="s">
        <v>187</v>
      </c>
      <c r="N28" s="5" t="s">
        <v>70</v>
      </c>
      <c r="O28" s="5" t="s">
        <v>33</v>
      </c>
      <c r="P28" s="5" t="s">
        <v>188</v>
      </c>
    </row>
    <row r="29" customFormat="false" ht="23.85" hidden="false" customHeight="false" outlineLevel="0" collapsed="false">
      <c r="A29" s="6" t="s">
        <v>189</v>
      </c>
      <c r="B29" s="6" t="s">
        <v>190</v>
      </c>
      <c r="C29" s="6" t="s">
        <v>49</v>
      </c>
      <c r="D29" s="6" t="s">
        <v>191</v>
      </c>
      <c r="E29" s="6" t="s">
        <v>33</v>
      </c>
      <c r="F29" s="6" t="s">
        <v>51</v>
      </c>
      <c r="G29" s="6" t="n">
        <v>120</v>
      </c>
      <c r="H29" s="6" t="n">
        <v>30</v>
      </c>
      <c r="I29" s="6" t="s">
        <v>192</v>
      </c>
      <c r="J29" s="6" t="n">
        <v>10</v>
      </c>
      <c r="K29" s="6" t="s">
        <v>193</v>
      </c>
      <c r="L29" s="6" t="s">
        <v>126</v>
      </c>
      <c r="M29" s="6" t="s">
        <v>194</v>
      </c>
      <c r="N29" s="6" t="s">
        <v>37</v>
      </c>
      <c r="O29" s="6"/>
      <c r="P29" s="6" t="s">
        <v>195</v>
      </c>
    </row>
    <row r="30" customFormat="false" ht="23.85" hidden="false" customHeight="false" outlineLevel="0" collapsed="false">
      <c r="A30" s="5" t="s">
        <v>196</v>
      </c>
      <c r="B30" s="5" t="s">
        <v>197</v>
      </c>
      <c r="C30" s="5" t="s">
        <v>31</v>
      </c>
      <c r="D30" s="5" t="s">
        <v>31</v>
      </c>
      <c r="E30" s="5" t="s">
        <v>33</v>
      </c>
      <c r="F30" s="5" t="s">
        <v>42</v>
      </c>
      <c r="G30" s="5" t="n">
        <v>90</v>
      </c>
      <c r="H30" s="5" t="n">
        <v>25</v>
      </c>
      <c r="I30" s="5" t="s">
        <v>37</v>
      </c>
      <c r="J30" s="5" t="n">
        <v>10</v>
      </c>
      <c r="K30" s="5" t="s">
        <v>95</v>
      </c>
      <c r="L30" s="5" t="s">
        <v>126</v>
      </c>
      <c r="M30" s="5" t="s">
        <v>198</v>
      </c>
      <c r="N30" s="5" t="s">
        <v>37</v>
      </c>
      <c r="O30" s="5"/>
      <c r="P30" s="5" t="s">
        <v>199</v>
      </c>
    </row>
    <row r="31" customFormat="false" ht="23.85" hidden="false" customHeight="false" outlineLevel="0" collapsed="false">
      <c r="A31" s="6" t="s">
        <v>200</v>
      </c>
      <c r="B31" s="6" t="s">
        <v>201</v>
      </c>
      <c r="C31" s="6" t="s">
        <v>80</v>
      </c>
      <c r="D31" s="6" t="s">
        <v>202</v>
      </c>
      <c r="E31" s="6" t="s">
        <v>33</v>
      </c>
      <c r="F31" s="6" t="s">
        <v>75</v>
      </c>
      <c r="G31" s="6" t="n">
        <v>90</v>
      </c>
      <c r="H31" s="6" t="n">
        <v>15</v>
      </c>
      <c r="I31" s="6" t="s">
        <v>37</v>
      </c>
      <c r="J31" s="6" t="n">
        <v>8</v>
      </c>
      <c r="K31" s="6" t="s">
        <v>120</v>
      </c>
      <c r="L31" s="6" t="s">
        <v>126</v>
      </c>
      <c r="M31" s="6" t="s">
        <v>203</v>
      </c>
      <c r="N31" s="6" t="s">
        <v>37</v>
      </c>
      <c r="O31" s="6"/>
      <c r="P31" s="6" t="s">
        <v>122</v>
      </c>
    </row>
    <row r="32" customFormat="false" ht="23.85" hidden="false" customHeight="false" outlineLevel="0" collapsed="false">
      <c r="A32" s="5" t="s">
        <v>204</v>
      </c>
      <c r="B32" s="5" t="s">
        <v>205</v>
      </c>
      <c r="C32" s="5" t="s">
        <v>31</v>
      </c>
      <c r="D32" s="5" t="s">
        <v>41</v>
      </c>
      <c r="E32" s="5" t="s">
        <v>33</v>
      </c>
      <c r="F32" s="5" t="s">
        <v>139</v>
      </c>
      <c r="G32" s="5" t="n">
        <v>150</v>
      </c>
      <c r="H32" s="5" t="n">
        <v>35</v>
      </c>
      <c r="I32" s="5" t="s">
        <v>34</v>
      </c>
      <c r="J32" s="5" t="n">
        <v>15</v>
      </c>
      <c r="K32" s="5" t="s">
        <v>37</v>
      </c>
      <c r="L32" s="5" t="s">
        <v>126</v>
      </c>
      <c r="M32" s="5" t="s">
        <v>206</v>
      </c>
      <c r="N32" s="5" t="s">
        <v>37</v>
      </c>
      <c r="O32" s="5"/>
      <c r="P32" s="5" t="s">
        <v>207</v>
      </c>
    </row>
    <row r="33" customFormat="false" ht="15" hidden="false" customHeight="false" outlineLevel="0" collapsed="false">
      <c r="A33" s="6" t="s">
        <v>208</v>
      </c>
      <c r="B33" s="6" t="s">
        <v>209</v>
      </c>
      <c r="C33" s="6" t="s">
        <v>31</v>
      </c>
      <c r="D33" s="6" t="s">
        <v>31</v>
      </c>
      <c r="E33" s="6" t="s">
        <v>33</v>
      </c>
      <c r="F33" s="6" t="s">
        <v>75</v>
      </c>
      <c r="G33" s="6" t="n">
        <v>120</v>
      </c>
      <c r="H33" s="6" t="n">
        <v>20</v>
      </c>
      <c r="I33" s="6" t="s">
        <v>34</v>
      </c>
      <c r="J33" s="6" t="n">
        <v>12</v>
      </c>
      <c r="K33" s="6" t="s">
        <v>37</v>
      </c>
      <c r="L33" s="6" t="s">
        <v>126</v>
      </c>
      <c r="M33" s="6" t="s">
        <v>210</v>
      </c>
      <c r="N33" s="6" t="s">
        <v>37</v>
      </c>
      <c r="O33" s="6"/>
      <c r="P33" s="6" t="s">
        <v>211</v>
      </c>
    </row>
    <row r="34" customFormat="false" ht="15" hidden="false" customHeight="false" outlineLevel="0" collapsed="false">
      <c r="A34" s="5" t="s">
        <v>212</v>
      </c>
      <c r="B34" s="5" t="s">
        <v>213</v>
      </c>
      <c r="C34" s="5" t="s">
        <v>57</v>
      </c>
      <c r="D34" s="5" t="s">
        <v>106</v>
      </c>
      <c r="E34" s="5" t="s">
        <v>33</v>
      </c>
      <c r="F34" s="5" t="s">
        <v>59</v>
      </c>
      <c r="G34" s="5" t="n">
        <v>150</v>
      </c>
      <c r="H34" s="5" t="n">
        <v>30</v>
      </c>
      <c r="I34" s="5" t="s">
        <v>34</v>
      </c>
      <c r="J34" s="5" t="n">
        <v>12</v>
      </c>
      <c r="K34" s="5" t="s">
        <v>37</v>
      </c>
      <c r="L34" s="5" t="n">
        <v>4</v>
      </c>
      <c r="M34" s="5" t="s">
        <v>214</v>
      </c>
      <c r="N34" s="5" t="s">
        <v>37</v>
      </c>
      <c r="O34" s="5"/>
      <c r="P34" s="5" t="s">
        <v>215</v>
      </c>
    </row>
    <row r="35" customFormat="false" ht="23.85" hidden="false" customHeight="false" outlineLevel="0" collapsed="false">
      <c r="A35" s="6" t="s">
        <v>216</v>
      </c>
      <c r="B35" s="6" t="s">
        <v>217</v>
      </c>
      <c r="C35" s="6" t="s">
        <v>31</v>
      </c>
      <c r="D35" s="6" t="s">
        <v>31</v>
      </c>
      <c r="E35" s="6" t="s">
        <v>50</v>
      </c>
      <c r="F35" s="6" t="s">
        <v>31</v>
      </c>
      <c r="G35" s="6" t="n">
        <v>90</v>
      </c>
      <c r="H35" s="6" t="n">
        <v>35</v>
      </c>
      <c r="I35" s="6" t="s">
        <v>34</v>
      </c>
      <c r="J35" s="6" t="n">
        <v>15</v>
      </c>
      <c r="K35" s="6" t="s">
        <v>37</v>
      </c>
      <c r="L35" s="6" t="n">
        <v>12</v>
      </c>
      <c r="M35" s="6" t="s">
        <v>218</v>
      </c>
      <c r="N35" s="6" t="s">
        <v>37</v>
      </c>
      <c r="O35" s="6"/>
      <c r="P35" s="6" t="s">
        <v>219</v>
      </c>
    </row>
  </sheetData>
  <autoFilter ref="A1:P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90"/>
  </cols>
  <sheetData>
    <row r="1" customFormat="false" ht="30" hidden="false" customHeight="true" outlineLevel="0" collapsed="false">
      <c r="A1" s="4" t="s">
        <v>13</v>
      </c>
      <c r="B1" s="4" t="s">
        <v>220</v>
      </c>
      <c r="C1" s="4" t="s">
        <v>221</v>
      </c>
      <c r="D1" s="4" t="s">
        <v>15</v>
      </c>
      <c r="E1" s="4" t="s">
        <v>222</v>
      </c>
      <c r="F1" s="4" t="s">
        <v>223</v>
      </c>
      <c r="G1" s="4" t="s">
        <v>224</v>
      </c>
      <c r="H1" s="4" t="s">
        <v>225</v>
      </c>
      <c r="I1" s="4" t="s">
        <v>226</v>
      </c>
      <c r="J1" s="4" t="s">
        <v>227</v>
      </c>
      <c r="K1" s="4" t="s">
        <v>228</v>
      </c>
    </row>
    <row r="2" customFormat="false" ht="46.25" hidden="false" customHeight="false" outlineLevel="0" collapsed="false">
      <c r="A2" s="5" t="s">
        <v>229</v>
      </c>
      <c r="B2" s="5" t="s">
        <v>230</v>
      </c>
      <c r="C2" s="5" t="s">
        <v>231</v>
      </c>
      <c r="D2" s="5" t="s">
        <v>232</v>
      </c>
      <c r="E2" s="5" t="s">
        <v>233</v>
      </c>
      <c r="F2" s="7" t="n">
        <v>1</v>
      </c>
      <c r="G2" s="5" t="s">
        <v>33</v>
      </c>
      <c r="H2" s="5" t="s">
        <v>234</v>
      </c>
      <c r="I2" s="5"/>
      <c r="J2" s="5" t="s">
        <v>37</v>
      </c>
      <c r="K2" s="5" t="s">
        <v>235</v>
      </c>
    </row>
    <row r="3" customFormat="false" ht="23.85" hidden="false" customHeight="false" outlineLevel="0" collapsed="false">
      <c r="A3" s="6" t="s">
        <v>236</v>
      </c>
      <c r="B3" s="6" t="s">
        <v>237</v>
      </c>
      <c r="C3" s="6" t="s">
        <v>231</v>
      </c>
      <c r="D3" s="6" t="s">
        <v>232</v>
      </c>
      <c r="E3" s="6" t="s">
        <v>238</v>
      </c>
      <c r="F3" s="8" t="n">
        <v>1</v>
      </c>
      <c r="G3" s="6" t="s">
        <v>33</v>
      </c>
      <c r="H3" s="6" t="s">
        <v>239</v>
      </c>
      <c r="I3" s="6"/>
      <c r="J3" s="6" t="s">
        <v>240</v>
      </c>
      <c r="K3" s="6" t="s">
        <v>241</v>
      </c>
    </row>
    <row r="4" customFormat="false" ht="35.05" hidden="false" customHeight="false" outlineLevel="0" collapsed="false">
      <c r="A4" s="5" t="s">
        <v>242</v>
      </c>
      <c r="B4" s="5" t="s">
        <v>243</v>
      </c>
      <c r="C4" s="5" t="s">
        <v>231</v>
      </c>
      <c r="D4" s="5" t="s">
        <v>232</v>
      </c>
      <c r="E4" s="5" t="s">
        <v>233</v>
      </c>
      <c r="F4" s="7" t="n">
        <v>1</v>
      </c>
      <c r="G4" s="5" t="s">
        <v>33</v>
      </c>
      <c r="H4" s="5" t="s">
        <v>244</v>
      </c>
      <c r="I4" s="5"/>
      <c r="J4" s="5" t="s">
        <v>245</v>
      </c>
      <c r="K4" s="5" t="s">
        <v>241</v>
      </c>
    </row>
    <row r="5" customFormat="false" ht="35.05" hidden="false" customHeight="false" outlineLevel="0" collapsed="false">
      <c r="A5" s="6" t="s">
        <v>246</v>
      </c>
      <c r="B5" s="6" t="s">
        <v>247</v>
      </c>
      <c r="C5" s="6" t="s">
        <v>231</v>
      </c>
      <c r="D5" s="6" t="s">
        <v>248</v>
      </c>
      <c r="E5" s="6" t="s">
        <v>233</v>
      </c>
      <c r="F5" s="8" t="n">
        <v>1</v>
      </c>
      <c r="G5" s="6" t="s">
        <v>33</v>
      </c>
      <c r="H5" s="6" t="s">
        <v>249</v>
      </c>
      <c r="I5" s="6"/>
      <c r="J5" s="6" t="s">
        <v>250</v>
      </c>
      <c r="K5" s="6" t="s">
        <v>251</v>
      </c>
    </row>
    <row r="6" customFormat="false" ht="23.85" hidden="false" customHeight="false" outlineLevel="0" collapsed="false">
      <c r="A6" s="5" t="s">
        <v>252</v>
      </c>
      <c r="B6" s="5" t="s">
        <v>253</v>
      </c>
      <c r="C6" s="5" t="s">
        <v>231</v>
      </c>
      <c r="D6" s="5" t="s">
        <v>254</v>
      </c>
      <c r="E6" s="5" t="s">
        <v>233</v>
      </c>
      <c r="F6" s="7" t="n">
        <v>1</v>
      </c>
      <c r="G6" s="5" t="s">
        <v>33</v>
      </c>
      <c r="H6" s="5" t="s">
        <v>255</v>
      </c>
      <c r="I6" s="5"/>
      <c r="J6" s="5" t="s">
        <v>256</v>
      </c>
      <c r="K6" s="5" t="s">
        <v>241</v>
      </c>
    </row>
    <row r="7" customFormat="false" ht="35.05" hidden="false" customHeight="false" outlineLevel="0" collapsed="false">
      <c r="A7" s="6" t="s">
        <v>257</v>
      </c>
      <c r="B7" s="6" t="s">
        <v>258</v>
      </c>
      <c r="C7" s="6" t="s">
        <v>231</v>
      </c>
      <c r="D7" s="6" t="s">
        <v>65</v>
      </c>
      <c r="E7" s="6" t="s">
        <v>238</v>
      </c>
      <c r="F7" s="8" t="n">
        <v>1</v>
      </c>
      <c r="G7" s="6" t="s">
        <v>50</v>
      </c>
      <c r="H7" s="6" t="s">
        <v>259</v>
      </c>
      <c r="I7" s="6"/>
      <c r="J7" s="6" t="s">
        <v>260</v>
      </c>
      <c r="K7" s="6" t="s">
        <v>241</v>
      </c>
    </row>
    <row r="8" customFormat="false" ht="23.85" hidden="false" customHeight="false" outlineLevel="0" collapsed="false">
      <c r="A8" s="5" t="s">
        <v>261</v>
      </c>
      <c r="B8" s="5" t="s">
        <v>262</v>
      </c>
      <c r="C8" s="5" t="s">
        <v>231</v>
      </c>
      <c r="D8" s="5" t="s">
        <v>263</v>
      </c>
      <c r="E8" s="5" t="s">
        <v>238</v>
      </c>
      <c r="F8" s="7" t="n">
        <v>1</v>
      </c>
      <c r="G8" s="5" t="s">
        <v>50</v>
      </c>
      <c r="H8" s="5" t="s">
        <v>264</v>
      </c>
      <c r="I8" s="5"/>
      <c r="J8" s="5" t="s">
        <v>265</v>
      </c>
      <c r="K8" s="5" t="s">
        <v>241</v>
      </c>
    </row>
    <row r="9" customFormat="false" ht="23.85" hidden="false" customHeight="false" outlineLevel="0" collapsed="false">
      <c r="A9" s="6" t="s">
        <v>266</v>
      </c>
      <c r="B9" s="6" t="s">
        <v>267</v>
      </c>
      <c r="C9" s="6" t="s">
        <v>231</v>
      </c>
      <c r="D9" s="6" t="s">
        <v>263</v>
      </c>
      <c r="E9" s="6" t="s">
        <v>238</v>
      </c>
      <c r="F9" s="8" t="n">
        <v>1</v>
      </c>
      <c r="G9" s="6" t="s">
        <v>50</v>
      </c>
      <c r="H9" s="6" t="s">
        <v>268</v>
      </c>
      <c r="I9" s="6"/>
      <c r="J9" s="6" t="s">
        <v>269</v>
      </c>
      <c r="K9" s="6" t="s">
        <v>241</v>
      </c>
    </row>
    <row r="10" customFormat="false" ht="23.85" hidden="false" customHeight="false" outlineLevel="0" collapsed="false">
      <c r="A10" s="5" t="s">
        <v>270</v>
      </c>
      <c r="B10" s="5" t="s">
        <v>271</v>
      </c>
      <c r="C10" s="5" t="s">
        <v>231</v>
      </c>
      <c r="D10" s="5" t="s">
        <v>263</v>
      </c>
      <c r="E10" s="5" t="s">
        <v>238</v>
      </c>
      <c r="F10" s="7" t="n">
        <v>1</v>
      </c>
      <c r="G10" s="5" t="s">
        <v>50</v>
      </c>
      <c r="H10" s="5" t="s">
        <v>272</v>
      </c>
      <c r="I10" s="5"/>
      <c r="J10" s="5" t="s">
        <v>273</v>
      </c>
      <c r="K10" s="5" t="s">
        <v>241</v>
      </c>
    </row>
    <row r="11" customFormat="false" ht="23.85" hidden="false" customHeight="false" outlineLevel="0" collapsed="false">
      <c r="A11" s="6" t="s">
        <v>274</v>
      </c>
      <c r="B11" s="6" t="s">
        <v>275</v>
      </c>
      <c r="C11" s="6" t="s">
        <v>231</v>
      </c>
      <c r="D11" s="6" t="s">
        <v>254</v>
      </c>
      <c r="E11" s="6" t="s">
        <v>233</v>
      </c>
      <c r="F11" s="8" t="n">
        <v>1</v>
      </c>
      <c r="G11" s="6" t="s">
        <v>33</v>
      </c>
      <c r="H11" s="6" t="s">
        <v>276</v>
      </c>
      <c r="I11" s="6"/>
      <c r="J11" s="6" t="s">
        <v>277</v>
      </c>
      <c r="K11" s="6" t="s">
        <v>241</v>
      </c>
    </row>
    <row r="12" customFormat="false" ht="23.85" hidden="false" customHeight="false" outlineLevel="0" collapsed="false">
      <c r="A12" s="5" t="s">
        <v>278</v>
      </c>
      <c r="B12" s="5" t="s">
        <v>279</v>
      </c>
      <c r="C12" s="5" t="s">
        <v>280</v>
      </c>
      <c r="D12" s="5" t="s">
        <v>281</v>
      </c>
      <c r="E12" s="5" t="s">
        <v>238</v>
      </c>
      <c r="F12" s="7" t="n">
        <v>0.45</v>
      </c>
      <c r="G12" s="5" t="s">
        <v>33</v>
      </c>
      <c r="H12" s="5" t="s">
        <v>282</v>
      </c>
      <c r="I12" s="5" t="s">
        <v>283</v>
      </c>
      <c r="J12" s="5" t="s">
        <v>37</v>
      </c>
      <c r="K12" s="5" t="s">
        <v>284</v>
      </c>
    </row>
    <row r="13" customFormat="false" ht="57.45" hidden="false" customHeight="false" outlineLevel="0" collapsed="false">
      <c r="A13" s="6" t="s">
        <v>285</v>
      </c>
      <c r="B13" s="6" t="s">
        <v>286</v>
      </c>
      <c r="C13" s="6" t="s">
        <v>280</v>
      </c>
      <c r="D13" s="6" t="s">
        <v>287</v>
      </c>
      <c r="E13" s="6" t="s">
        <v>238</v>
      </c>
      <c r="F13" s="8" t="n">
        <v>0.4</v>
      </c>
      <c r="G13" s="6" t="s">
        <v>33</v>
      </c>
      <c r="H13" s="6" t="s">
        <v>282</v>
      </c>
      <c r="I13" s="6" t="s">
        <v>288</v>
      </c>
      <c r="J13" s="6" t="s">
        <v>37</v>
      </c>
      <c r="K13" s="6" t="s">
        <v>289</v>
      </c>
    </row>
    <row r="14" customFormat="false" ht="46.25" hidden="false" customHeight="false" outlineLevel="0" collapsed="false">
      <c r="A14" s="5" t="s">
        <v>290</v>
      </c>
      <c r="B14" s="5" t="s">
        <v>291</v>
      </c>
      <c r="C14" s="5" t="s">
        <v>280</v>
      </c>
      <c r="D14" s="5" t="s">
        <v>281</v>
      </c>
      <c r="E14" s="5" t="s">
        <v>238</v>
      </c>
      <c r="F14" s="7" t="n">
        <v>0.5</v>
      </c>
      <c r="G14" s="5" t="s">
        <v>33</v>
      </c>
      <c r="H14" s="5" t="s">
        <v>292</v>
      </c>
      <c r="I14" s="5" t="s">
        <v>293</v>
      </c>
      <c r="J14" s="5" t="s">
        <v>37</v>
      </c>
      <c r="K14" s="5" t="s">
        <v>294</v>
      </c>
    </row>
    <row r="15" customFormat="false" ht="35.05" hidden="false" customHeight="false" outlineLevel="0" collapsed="false">
      <c r="A15" s="6" t="s">
        <v>295</v>
      </c>
      <c r="B15" s="6" t="s">
        <v>296</v>
      </c>
      <c r="C15" s="6" t="s">
        <v>280</v>
      </c>
      <c r="D15" s="6" t="s">
        <v>254</v>
      </c>
      <c r="E15" s="6" t="s">
        <v>238</v>
      </c>
      <c r="F15" s="8" t="n">
        <v>0.45</v>
      </c>
      <c r="G15" s="6" t="s">
        <v>33</v>
      </c>
      <c r="H15" s="6" t="s">
        <v>297</v>
      </c>
      <c r="I15" s="6" t="s">
        <v>298</v>
      </c>
      <c r="J15" s="6" t="s">
        <v>37</v>
      </c>
      <c r="K15" s="6" t="s">
        <v>299</v>
      </c>
    </row>
    <row r="16" customFormat="false" ht="46.25" hidden="false" customHeight="false" outlineLevel="0" collapsed="false">
      <c r="A16" s="5" t="s">
        <v>300</v>
      </c>
      <c r="B16" s="5" t="s">
        <v>301</v>
      </c>
      <c r="C16" s="5" t="s">
        <v>280</v>
      </c>
      <c r="D16" s="5" t="s">
        <v>287</v>
      </c>
      <c r="E16" s="5" t="s">
        <v>238</v>
      </c>
      <c r="F16" s="7" t="n">
        <v>0.4</v>
      </c>
      <c r="G16" s="5" t="s">
        <v>33</v>
      </c>
      <c r="H16" s="5" t="s">
        <v>302</v>
      </c>
      <c r="I16" s="5"/>
      <c r="J16" s="5" t="s">
        <v>37</v>
      </c>
      <c r="K16" s="5" t="s">
        <v>303</v>
      </c>
    </row>
    <row r="17" customFormat="false" ht="35.05" hidden="false" customHeight="false" outlineLevel="0" collapsed="false">
      <c r="A17" s="6" t="s">
        <v>304</v>
      </c>
      <c r="B17" s="6" t="s">
        <v>305</v>
      </c>
      <c r="C17" s="6" t="s">
        <v>280</v>
      </c>
      <c r="D17" s="6" t="s">
        <v>281</v>
      </c>
      <c r="E17" s="6" t="s">
        <v>306</v>
      </c>
      <c r="F17" s="8" t="n">
        <v>0.35</v>
      </c>
      <c r="G17" s="6" t="s">
        <v>33</v>
      </c>
      <c r="H17" s="6" t="s">
        <v>292</v>
      </c>
      <c r="I17" s="6" t="s">
        <v>307</v>
      </c>
      <c r="J17" s="6" t="s">
        <v>37</v>
      </c>
      <c r="K17" s="6" t="s">
        <v>308</v>
      </c>
    </row>
    <row r="18" customFormat="false" ht="23.85" hidden="false" customHeight="false" outlineLevel="0" collapsed="false">
      <c r="A18" s="5" t="s">
        <v>309</v>
      </c>
      <c r="B18" s="5" t="s">
        <v>310</v>
      </c>
      <c r="C18" s="5" t="s">
        <v>280</v>
      </c>
      <c r="D18" s="5" t="s">
        <v>287</v>
      </c>
      <c r="E18" s="5" t="s">
        <v>306</v>
      </c>
      <c r="F18" s="7" t="n">
        <v>0.4</v>
      </c>
      <c r="G18" s="5" t="s">
        <v>33</v>
      </c>
      <c r="H18" s="5" t="s">
        <v>311</v>
      </c>
      <c r="I18" s="5" t="s">
        <v>312</v>
      </c>
      <c r="J18" s="5" t="s">
        <v>313</v>
      </c>
      <c r="K18" s="5" t="s">
        <v>241</v>
      </c>
    </row>
    <row r="19" customFormat="false" ht="35.05" hidden="false" customHeight="false" outlineLevel="0" collapsed="false">
      <c r="A19" s="6" t="s">
        <v>314</v>
      </c>
      <c r="B19" s="6" t="s">
        <v>315</v>
      </c>
      <c r="C19" s="6" t="s">
        <v>280</v>
      </c>
      <c r="D19" s="6" t="s">
        <v>287</v>
      </c>
      <c r="E19" s="6" t="s">
        <v>238</v>
      </c>
      <c r="F19" s="8" t="n">
        <v>0.4</v>
      </c>
      <c r="G19" s="6" t="s">
        <v>33</v>
      </c>
      <c r="H19" s="6" t="s">
        <v>316</v>
      </c>
      <c r="I19" s="6"/>
      <c r="J19" s="6" t="s">
        <v>37</v>
      </c>
      <c r="K19" s="6" t="s">
        <v>317</v>
      </c>
    </row>
    <row r="20" customFormat="false" ht="35.05" hidden="false" customHeight="false" outlineLevel="0" collapsed="false">
      <c r="A20" s="5" t="s">
        <v>318</v>
      </c>
      <c r="B20" s="5" t="s">
        <v>319</v>
      </c>
      <c r="C20" s="5" t="s">
        <v>280</v>
      </c>
      <c r="D20" s="5" t="s">
        <v>281</v>
      </c>
      <c r="E20" s="5" t="s">
        <v>238</v>
      </c>
      <c r="F20" s="7" t="n">
        <v>0.4</v>
      </c>
      <c r="G20" s="5" t="s">
        <v>33</v>
      </c>
      <c r="H20" s="5" t="s">
        <v>320</v>
      </c>
      <c r="I20" s="5" t="s">
        <v>321</v>
      </c>
      <c r="J20" s="5" t="s">
        <v>37</v>
      </c>
      <c r="K20" s="5" t="s">
        <v>322</v>
      </c>
    </row>
    <row r="21" customFormat="false" ht="35.05" hidden="false" customHeight="false" outlineLevel="0" collapsed="false">
      <c r="A21" s="6" t="s">
        <v>323</v>
      </c>
      <c r="B21" s="6" t="s">
        <v>324</v>
      </c>
      <c r="C21" s="6" t="s">
        <v>280</v>
      </c>
      <c r="D21" s="6" t="s">
        <v>281</v>
      </c>
      <c r="E21" s="6" t="s">
        <v>233</v>
      </c>
      <c r="F21" s="8" t="n">
        <v>0.6</v>
      </c>
      <c r="G21" s="6" t="s">
        <v>33</v>
      </c>
      <c r="H21" s="6" t="s">
        <v>325</v>
      </c>
      <c r="I21" s="6" t="s">
        <v>326</v>
      </c>
      <c r="J21" s="6" t="s">
        <v>37</v>
      </c>
      <c r="K21" s="6" t="s">
        <v>327</v>
      </c>
    </row>
    <row r="22" customFormat="false" ht="35.05" hidden="false" customHeight="false" outlineLevel="0" collapsed="false">
      <c r="A22" s="5" t="s">
        <v>328</v>
      </c>
      <c r="B22" s="5" t="s">
        <v>329</v>
      </c>
      <c r="C22" s="5" t="s">
        <v>280</v>
      </c>
      <c r="D22" s="5" t="s">
        <v>263</v>
      </c>
      <c r="E22" s="5" t="s">
        <v>238</v>
      </c>
      <c r="F22" s="7" t="n">
        <v>0.5</v>
      </c>
      <c r="G22" s="5" t="s">
        <v>33</v>
      </c>
      <c r="H22" s="5" t="s">
        <v>330</v>
      </c>
      <c r="I22" s="5" t="s">
        <v>283</v>
      </c>
      <c r="J22" s="5" t="s">
        <v>37</v>
      </c>
      <c r="K22" s="5" t="s">
        <v>331</v>
      </c>
    </row>
    <row r="23" customFormat="false" ht="35.05" hidden="false" customHeight="false" outlineLevel="0" collapsed="false">
      <c r="A23" s="6" t="s">
        <v>332</v>
      </c>
      <c r="B23" s="6" t="s">
        <v>333</v>
      </c>
      <c r="C23" s="6" t="s">
        <v>280</v>
      </c>
      <c r="D23" s="6" t="s">
        <v>287</v>
      </c>
      <c r="E23" s="6" t="s">
        <v>233</v>
      </c>
      <c r="F23" s="8" t="n">
        <v>0.8</v>
      </c>
      <c r="G23" s="6" t="s">
        <v>33</v>
      </c>
      <c r="H23" s="6" t="s">
        <v>334</v>
      </c>
      <c r="I23" s="6" t="s">
        <v>335</v>
      </c>
      <c r="J23" s="6" t="s">
        <v>37</v>
      </c>
      <c r="K23" s="6" t="s">
        <v>336</v>
      </c>
    </row>
    <row r="24" customFormat="false" ht="23.85" hidden="false" customHeight="false" outlineLevel="0" collapsed="false">
      <c r="A24" s="5" t="s">
        <v>337</v>
      </c>
      <c r="B24" s="5" t="s">
        <v>338</v>
      </c>
      <c r="C24" s="5" t="s">
        <v>280</v>
      </c>
      <c r="D24" s="5" t="s">
        <v>287</v>
      </c>
      <c r="E24" s="5" t="s">
        <v>233</v>
      </c>
      <c r="F24" s="7" t="n">
        <v>0.6</v>
      </c>
      <c r="G24" s="5" t="s">
        <v>33</v>
      </c>
      <c r="H24" s="5" t="s">
        <v>339</v>
      </c>
      <c r="I24" s="5"/>
      <c r="J24" s="5" t="s">
        <v>340</v>
      </c>
      <c r="K24" s="5" t="s">
        <v>341</v>
      </c>
    </row>
    <row r="25" customFormat="false" ht="23.85" hidden="false" customHeight="false" outlineLevel="0" collapsed="false">
      <c r="A25" s="6" t="s">
        <v>342</v>
      </c>
      <c r="B25" s="6" t="s">
        <v>343</v>
      </c>
      <c r="C25" s="6" t="s">
        <v>280</v>
      </c>
      <c r="D25" s="6" t="s">
        <v>287</v>
      </c>
      <c r="E25" s="6" t="s">
        <v>306</v>
      </c>
      <c r="F25" s="8" t="n">
        <v>0.5</v>
      </c>
      <c r="G25" s="6" t="s">
        <v>33</v>
      </c>
      <c r="H25" s="6" t="s">
        <v>344</v>
      </c>
      <c r="I25" s="6"/>
      <c r="J25" s="6" t="s">
        <v>345</v>
      </c>
      <c r="K25" s="6" t="s">
        <v>241</v>
      </c>
    </row>
    <row r="26" customFormat="false" ht="46.25" hidden="false" customHeight="false" outlineLevel="0" collapsed="false">
      <c r="A26" s="5" t="s">
        <v>346</v>
      </c>
      <c r="B26" s="5" t="s">
        <v>347</v>
      </c>
      <c r="C26" s="5" t="s">
        <v>280</v>
      </c>
      <c r="D26" s="5" t="s">
        <v>281</v>
      </c>
      <c r="E26" s="5" t="s">
        <v>238</v>
      </c>
      <c r="F26" s="7" t="n">
        <v>0.5</v>
      </c>
      <c r="G26" s="5" t="s">
        <v>50</v>
      </c>
      <c r="H26" s="5" t="s">
        <v>348</v>
      </c>
      <c r="I26" s="5" t="s">
        <v>349</v>
      </c>
      <c r="J26" s="5" t="s">
        <v>37</v>
      </c>
      <c r="K26" s="5" t="s">
        <v>350</v>
      </c>
    </row>
    <row r="27" customFormat="false" ht="23.85" hidden="false" customHeight="false" outlineLevel="0" collapsed="false">
      <c r="A27" s="6" t="s">
        <v>351</v>
      </c>
      <c r="B27" s="6" t="s">
        <v>352</v>
      </c>
      <c r="C27" s="6" t="s">
        <v>280</v>
      </c>
      <c r="D27" s="6" t="s">
        <v>281</v>
      </c>
      <c r="E27" s="6" t="s">
        <v>233</v>
      </c>
      <c r="F27" s="8" t="n">
        <v>1</v>
      </c>
      <c r="G27" s="6" t="s">
        <v>33</v>
      </c>
      <c r="H27" s="6" t="s">
        <v>353</v>
      </c>
      <c r="I27" s="6"/>
      <c r="J27" s="6" t="s">
        <v>37</v>
      </c>
      <c r="K27" s="6" t="s">
        <v>354</v>
      </c>
    </row>
    <row r="28" customFormat="false" ht="23.85" hidden="false" customHeight="false" outlineLevel="0" collapsed="false">
      <c r="A28" s="5" t="s">
        <v>355</v>
      </c>
      <c r="B28" s="5" t="s">
        <v>356</v>
      </c>
      <c r="C28" s="5" t="s">
        <v>280</v>
      </c>
      <c r="D28" s="5" t="s">
        <v>281</v>
      </c>
      <c r="E28" s="5" t="s">
        <v>233</v>
      </c>
      <c r="F28" s="7" t="n">
        <v>1</v>
      </c>
      <c r="G28" s="5" t="s">
        <v>33</v>
      </c>
      <c r="H28" s="5" t="s">
        <v>357</v>
      </c>
      <c r="I28" s="5" t="s">
        <v>358</v>
      </c>
      <c r="J28" s="5" t="s">
        <v>37</v>
      </c>
      <c r="K28" s="5" t="s">
        <v>359</v>
      </c>
    </row>
    <row r="29" customFormat="false" ht="79.85" hidden="false" customHeight="false" outlineLevel="0" collapsed="false">
      <c r="A29" s="6" t="s">
        <v>360</v>
      </c>
      <c r="B29" s="6" t="s">
        <v>361</v>
      </c>
      <c r="C29" s="6" t="s">
        <v>280</v>
      </c>
      <c r="D29" s="6" t="s">
        <v>232</v>
      </c>
      <c r="E29" s="6" t="s">
        <v>362</v>
      </c>
      <c r="F29" s="8" t="n">
        <v>1</v>
      </c>
      <c r="G29" s="6" t="s">
        <v>33</v>
      </c>
      <c r="H29" s="6" t="s">
        <v>363</v>
      </c>
      <c r="I29" s="6" t="s">
        <v>364</v>
      </c>
      <c r="J29" s="6" t="s">
        <v>37</v>
      </c>
      <c r="K29" s="6" t="s">
        <v>365</v>
      </c>
    </row>
    <row r="30" customFormat="false" ht="57.45" hidden="false" customHeight="false" outlineLevel="0" collapsed="false">
      <c r="A30" s="5" t="s">
        <v>366</v>
      </c>
      <c r="B30" s="5" t="s">
        <v>367</v>
      </c>
      <c r="C30" s="5" t="s">
        <v>280</v>
      </c>
      <c r="D30" s="5" t="s">
        <v>287</v>
      </c>
      <c r="E30" s="5" t="s">
        <v>362</v>
      </c>
      <c r="F30" s="7" t="n">
        <v>0.8</v>
      </c>
      <c r="G30" s="5" t="s">
        <v>33</v>
      </c>
      <c r="H30" s="5" t="s">
        <v>368</v>
      </c>
      <c r="I30" s="5"/>
      <c r="J30" s="5" t="s">
        <v>369</v>
      </c>
      <c r="K30" s="5" t="s">
        <v>370</v>
      </c>
    </row>
    <row r="31" customFormat="false" ht="23.85" hidden="false" customHeight="false" outlineLevel="0" collapsed="false">
      <c r="A31" s="6" t="s">
        <v>371</v>
      </c>
      <c r="B31" s="6" t="s">
        <v>372</v>
      </c>
      <c r="C31" s="6" t="s">
        <v>280</v>
      </c>
      <c r="D31" s="6" t="s">
        <v>232</v>
      </c>
      <c r="E31" s="6" t="s">
        <v>233</v>
      </c>
      <c r="F31" s="8" t="n">
        <v>1</v>
      </c>
      <c r="G31" s="6" t="s">
        <v>33</v>
      </c>
      <c r="H31" s="6" t="s">
        <v>373</v>
      </c>
      <c r="I31" s="6"/>
      <c r="J31" s="6" t="s">
        <v>37</v>
      </c>
      <c r="K31" s="6" t="s">
        <v>374</v>
      </c>
    </row>
    <row r="32" customFormat="false" ht="57.45" hidden="false" customHeight="false" outlineLevel="0" collapsed="false">
      <c r="A32" s="5" t="s">
        <v>375</v>
      </c>
      <c r="B32" s="5" t="s">
        <v>376</v>
      </c>
      <c r="C32" s="5" t="s">
        <v>377</v>
      </c>
      <c r="D32" s="5" t="s">
        <v>281</v>
      </c>
      <c r="E32" s="5" t="s">
        <v>238</v>
      </c>
      <c r="F32" s="7" t="n">
        <v>0.35</v>
      </c>
      <c r="G32" s="5" t="s">
        <v>50</v>
      </c>
      <c r="H32" s="5" t="s">
        <v>378</v>
      </c>
      <c r="I32" s="5" t="s">
        <v>379</v>
      </c>
      <c r="J32" s="5" t="s">
        <v>37</v>
      </c>
      <c r="K32" s="5" t="s">
        <v>380</v>
      </c>
    </row>
    <row r="33" customFormat="false" ht="23.85" hidden="false" customHeight="false" outlineLevel="0" collapsed="false">
      <c r="A33" s="6" t="s">
        <v>381</v>
      </c>
      <c r="B33" s="6" t="s">
        <v>382</v>
      </c>
      <c r="C33" s="6" t="s">
        <v>377</v>
      </c>
      <c r="D33" s="6" t="s">
        <v>287</v>
      </c>
      <c r="E33" s="6" t="s">
        <v>238</v>
      </c>
      <c r="F33" s="8" t="n">
        <v>0.4</v>
      </c>
      <c r="G33" s="6" t="s">
        <v>33</v>
      </c>
      <c r="H33" s="6" t="s">
        <v>383</v>
      </c>
      <c r="I33" s="6" t="s">
        <v>321</v>
      </c>
      <c r="J33" s="6" t="s">
        <v>384</v>
      </c>
      <c r="K33" s="6" t="s">
        <v>241</v>
      </c>
    </row>
    <row r="34" customFormat="false" ht="35.05" hidden="false" customHeight="false" outlineLevel="0" collapsed="false">
      <c r="A34" s="5" t="s">
        <v>385</v>
      </c>
      <c r="B34" s="5" t="s">
        <v>386</v>
      </c>
      <c r="C34" s="5" t="s">
        <v>377</v>
      </c>
      <c r="D34" s="5" t="s">
        <v>287</v>
      </c>
      <c r="E34" s="5" t="s">
        <v>238</v>
      </c>
      <c r="F34" s="7" t="n">
        <v>0.4</v>
      </c>
      <c r="G34" s="5" t="s">
        <v>33</v>
      </c>
      <c r="H34" s="5" t="s">
        <v>387</v>
      </c>
      <c r="I34" s="5" t="s">
        <v>298</v>
      </c>
      <c r="J34" s="5" t="s">
        <v>37</v>
      </c>
      <c r="K34" s="5" t="s">
        <v>388</v>
      </c>
    </row>
    <row r="35" customFormat="false" ht="46.25" hidden="false" customHeight="false" outlineLevel="0" collapsed="false">
      <c r="A35" s="6" t="s">
        <v>389</v>
      </c>
      <c r="B35" s="6" t="s">
        <v>390</v>
      </c>
      <c r="C35" s="6" t="s">
        <v>377</v>
      </c>
      <c r="D35" s="6" t="s">
        <v>281</v>
      </c>
      <c r="E35" s="6" t="s">
        <v>233</v>
      </c>
      <c r="F35" s="8" t="n">
        <v>0.6</v>
      </c>
      <c r="G35" s="6" t="s">
        <v>33</v>
      </c>
      <c r="H35" s="6" t="s">
        <v>391</v>
      </c>
      <c r="I35" s="6" t="s">
        <v>392</v>
      </c>
      <c r="J35" s="6" t="s">
        <v>393</v>
      </c>
      <c r="K35" s="6" t="s">
        <v>394</v>
      </c>
    </row>
    <row r="36" customFormat="false" ht="35.05" hidden="false" customHeight="false" outlineLevel="0" collapsed="false">
      <c r="A36" s="5" t="s">
        <v>395</v>
      </c>
      <c r="B36" s="5" t="s">
        <v>396</v>
      </c>
      <c r="C36" s="5" t="s">
        <v>377</v>
      </c>
      <c r="D36" s="5" t="s">
        <v>281</v>
      </c>
      <c r="E36" s="5" t="s">
        <v>233</v>
      </c>
      <c r="F36" s="7" t="n">
        <v>0.6</v>
      </c>
      <c r="G36" s="5" t="s">
        <v>33</v>
      </c>
      <c r="H36" s="5" t="s">
        <v>397</v>
      </c>
      <c r="I36" s="5" t="s">
        <v>398</v>
      </c>
      <c r="J36" s="5" t="s">
        <v>37</v>
      </c>
      <c r="K36" s="5" t="s">
        <v>399</v>
      </c>
    </row>
    <row r="37" customFormat="false" ht="23.85" hidden="false" customHeight="false" outlineLevel="0" collapsed="false">
      <c r="A37" s="6" t="s">
        <v>400</v>
      </c>
      <c r="B37" s="6" t="s">
        <v>401</v>
      </c>
      <c r="C37" s="6" t="s">
        <v>377</v>
      </c>
      <c r="D37" s="6" t="s">
        <v>281</v>
      </c>
      <c r="E37" s="6" t="s">
        <v>306</v>
      </c>
      <c r="F37" s="8" t="n">
        <v>0.4</v>
      </c>
      <c r="G37" s="6" t="s">
        <v>33</v>
      </c>
      <c r="H37" s="6" t="s">
        <v>320</v>
      </c>
      <c r="I37" s="6" t="s">
        <v>288</v>
      </c>
      <c r="J37" s="6" t="s">
        <v>402</v>
      </c>
      <c r="K37" s="6" t="s">
        <v>241</v>
      </c>
    </row>
    <row r="38" customFormat="false" ht="57.45" hidden="false" customHeight="false" outlineLevel="0" collapsed="false">
      <c r="A38" s="5" t="s">
        <v>403</v>
      </c>
      <c r="B38" s="5" t="s">
        <v>404</v>
      </c>
      <c r="C38" s="5" t="s">
        <v>377</v>
      </c>
      <c r="D38" s="5" t="s">
        <v>281</v>
      </c>
      <c r="E38" s="5" t="s">
        <v>238</v>
      </c>
      <c r="F38" s="7" t="n">
        <v>0.45</v>
      </c>
      <c r="G38" s="5" t="s">
        <v>33</v>
      </c>
      <c r="H38" s="5" t="s">
        <v>320</v>
      </c>
      <c r="I38" s="5" t="s">
        <v>326</v>
      </c>
      <c r="J38" s="5" t="s">
        <v>37</v>
      </c>
      <c r="K38" s="5" t="s">
        <v>405</v>
      </c>
    </row>
    <row r="39" customFormat="false" ht="46.25" hidden="false" customHeight="false" outlineLevel="0" collapsed="false">
      <c r="A39" s="6" t="s">
        <v>406</v>
      </c>
      <c r="B39" s="6" t="s">
        <v>407</v>
      </c>
      <c r="C39" s="6" t="s">
        <v>408</v>
      </c>
      <c r="D39" s="6" t="s">
        <v>248</v>
      </c>
      <c r="E39" s="6" t="s">
        <v>238</v>
      </c>
      <c r="F39" s="8" t="n">
        <v>0.08</v>
      </c>
      <c r="G39" s="6" t="s">
        <v>33</v>
      </c>
      <c r="H39" s="6" t="s">
        <v>409</v>
      </c>
      <c r="I39" s="6"/>
      <c r="J39" s="6" t="s">
        <v>37</v>
      </c>
      <c r="K39" s="6" t="s">
        <v>410</v>
      </c>
    </row>
    <row r="40" customFormat="false" ht="35.05" hidden="false" customHeight="false" outlineLevel="0" collapsed="false">
      <c r="A40" s="5" t="s">
        <v>411</v>
      </c>
      <c r="B40" s="5" t="s">
        <v>412</v>
      </c>
      <c r="C40" s="5" t="s">
        <v>408</v>
      </c>
      <c r="D40" s="5" t="s">
        <v>248</v>
      </c>
      <c r="E40" s="5" t="s">
        <v>233</v>
      </c>
      <c r="F40" s="7" t="n">
        <v>0.06</v>
      </c>
      <c r="G40" s="5" t="s">
        <v>33</v>
      </c>
      <c r="H40" s="5" t="s">
        <v>409</v>
      </c>
      <c r="I40" s="5"/>
      <c r="J40" s="5" t="s">
        <v>37</v>
      </c>
      <c r="K40" s="5" t="s">
        <v>413</v>
      </c>
    </row>
    <row r="41" customFormat="false" ht="68.65" hidden="false" customHeight="false" outlineLevel="0" collapsed="false">
      <c r="A41" s="6" t="s">
        <v>414</v>
      </c>
      <c r="B41" s="6" t="s">
        <v>415</v>
      </c>
      <c r="C41" s="6" t="s">
        <v>408</v>
      </c>
      <c r="D41" s="6" t="s">
        <v>248</v>
      </c>
      <c r="E41" s="6" t="s">
        <v>233</v>
      </c>
      <c r="F41" s="8" t="n">
        <v>0.05</v>
      </c>
      <c r="G41" s="6" t="s">
        <v>33</v>
      </c>
      <c r="H41" s="6" t="s">
        <v>416</v>
      </c>
      <c r="I41" s="6" t="s">
        <v>358</v>
      </c>
      <c r="J41" s="6" t="s">
        <v>37</v>
      </c>
      <c r="K41" s="6" t="s">
        <v>417</v>
      </c>
    </row>
    <row r="42" customFormat="false" ht="46.25" hidden="false" customHeight="false" outlineLevel="0" collapsed="false">
      <c r="A42" s="5" t="s">
        <v>418</v>
      </c>
      <c r="B42" s="5" t="s">
        <v>419</v>
      </c>
      <c r="C42" s="5" t="s">
        <v>408</v>
      </c>
      <c r="D42" s="5" t="s">
        <v>281</v>
      </c>
      <c r="E42" s="5" t="s">
        <v>238</v>
      </c>
      <c r="F42" s="7" t="n">
        <v>0.05</v>
      </c>
      <c r="G42" s="5" t="s">
        <v>33</v>
      </c>
      <c r="H42" s="5" t="s">
        <v>416</v>
      </c>
      <c r="I42" s="5" t="s">
        <v>420</v>
      </c>
      <c r="J42" s="5" t="s">
        <v>421</v>
      </c>
      <c r="K42" s="5" t="s">
        <v>422</v>
      </c>
    </row>
    <row r="43" customFormat="false" ht="35.05" hidden="false" customHeight="false" outlineLevel="0" collapsed="false">
      <c r="A43" s="6" t="s">
        <v>423</v>
      </c>
      <c r="B43" s="6" t="s">
        <v>424</v>
      </c>
      <c r="C43" s="6" t="s">
        <v>408</v>
      </c>
      <c r="D43" s="6" t="s">
        <v>425</v>
      </c>
      <c r="E43" s="6" t="s">
        <v>233</v>
      </c>
      <c r="F43" s="8" t="n">
        <v>0.08</v>
      </c>
      <c r="G43" s="6" t="s">
        <v>33</v>
      </c>
      <c r="H43" s="6" t="s">
        <v>409</v>
      </c>
      <c r="I43" s="6"/>
      <c r="J43" s="6" t="s">
        <v>37</v>
      </c>
      <c r="K43" s="6" t="s">
        <v>426</v>
      </c>
    </row>
    <row r="44" customFormat="false" ht="23.85" hidden="false" customHeight="false" outlineLevel="0" collapsed="false">
      <c r="A44" s="5" t="s">
        <v>427</v>
      </c>
      <c r="B44" s="5" t="s">
        <v>428</v>
      </c>
      <c r="C44" s="5" t="s">
        <v>408</v>
      </c>
      <c r="D44" s="5" t="s">
        <v>248</v>
      </c>
      <c r="E44" s="5" t="s">
        <v>238</v>
      </c>
      <c r="F44" s="7" t="n">
        <v>0.06</v>
      </c>
      <c r="G44" s="5" t="s">
        <v>33</v>
      </c>
      <c r="H44" s="5" t="s">
        <v>416</v>
      </c>
      <c r="I44" s="5"/>
      <c r="J44" s="5" t="s">
        <v>37</v>
      </c>
      <c r="K44" s="5" t="s">
        <v>429</v>
      </c>
    </row>
    <row r="45" customFormat="false" ht="46.25" hidden="false" customHeight="false" outlineLevel="0" collapsed="false">
      <c r="A45" s="6" t="s">
        <v>430</v>
      </c>
      <c r="B45" s="6" t="s">
        <v>431</v>
      </c>
      <c r="C45" s="6" t="s">
        <v>408</v>
      </c>
      <c r="D45" s="6" t="s">
        <v>248</v>
      </c>
      <c r="E45" s="6" t="s">
        <v>238</v>
      </c>
      <c r="F45" s="8" t="n">
        <v>0.07</v>
      </c>
      <c r="G45" s="6" t="s">
        <v>33</v>
      </c>
      <c r="H45" s="6" t="s">
        <v>432</v>
      </c>
      <c r="I45" s="6"/>
      <c r="J45" s="6" t="s">
        <v>37</v>
      </c>
      <c r="K45" s="6" t="s">
        <v>433</v>
      </c>
    </row>
    <row r="46" customFormat="false" ht="35.05" hidden="false" customHeight="false" outlineLevel="0" collapsed="false">
      <c r="A46" s="5" t="s">
        <v>434</v>
      </c>
      <c r="B46" s="5" t="s">
        <v>435</v>
      </c>
      <c r="C46" s="5" t="s">
        <v>408</v>
      </c>
      <c r="D46" s="5" t="s">
        <v>425</v>
      </c>
      <c r="E46" s="5" t="s">
        <v>238</v>
      </c>
      <c r="F46" s="7" t="n">
        <v>0.03</v>
      </c>
      <c r="G46" s="5" t="s">
        <v>50</v>
      </c>
      <c r="H46" s="5" t="s">
        <v>436</v>
      </c>
      <c r="I46" s="5" t="s">
        <v>358</v>
      </c>
      <c r="J46" s="5" t="s">
        <v>37</v>
      </c>
      <c r="K46" s="5" t="s">
        <v>437</v>
      </c>
    </row>
    <row r="47" customFormat="false" ht="23.85" hidden="false" customHeight="false" outlineLevel="0" collapsed="false">
      <c r="A47" s="6" t="s">
        <v>438</v>
      </c>
      <c r="B47" s="6" t="s">
        <v>439</v>
      </c>
      <c r="C47" s="6" t="s">
        <v>408</v>
      </c>
      <c r="D47" s="6" t="s">
        <v>425</v>
      </c>
      <c r="E47" s="6" t="s">
        <v>238</v>
      </c>
      <c r="F47" s="8" t="n">
        <v>0.05</v>
      </c>
      <c r="G47" s="6" t="s">
        <v>33</v>
      </c>
      <c r="H47" s="6" t="s">
        <v>416</v>
      </c>
      <c r="I47" s="6"/>
      <c r="J47" s="6" t="s">
        <v>37</v>
      </c>
      <c r="K47" s="6" t="s">
        <v>440</v>
      </c>
    </row>
    <row r="48" customFormat="false" ht="35.05" hidden="false" customHeight="false" outlineLevel="0" collapsed="false">
      <c r="A48" s="5" t="s">
        <v>441</v>
      </c>
      <c r="B48" s="5" t="s">
        <v>442</v>
      </c>
      <c r="C48" s="5" t="s">
        <v>408</v>
      </c>
      <c r="D48" s="5" t="s">
        <v>425</v>
      </c>
      <c r="E48" s="5" t="s">
        <v>238</v>
      </c>
      <c r="F48" s="7" t="n">
        <v>0.04</v>
      </c>
      <c r="G48" s="5" t="s">
        <v>50</v>
      </c>
      <c r="H48" s="5" t="s">
        <v>443</v>
      </c>
      <c r="I48" s="5"/>
      <c r="J48" s="5" t="s">
        <v>37</v>
      </c>
      <c r="K48" s="5" t="s">
        <v>444</v>
      </c>
    </row>
    <row r="49" customFormat="false" ht="35.05" hidden="false" customHeight="false" outlineLevel="0" collapsed="false">
      <c r="A49" s="6" t="s">
        <v>445</v>
      </c>
      <c r="B49" s="6" t="s">
        <v>446</v>
      </c>
      <c r="C49" s="6" t="s">
        <v>408</v>
      </c>
      <c r="D49" s="6" t="s">
        <v>248</v>
      </c>
      <c r="E49" s="6" t="s">
        <v>238</v>
      </c>
      <c r="F49" s="8" t="n">
        <v>0.05</v>
      </c>
      <c r="G49" s="6" t="s">
        <v>33</v>
      </c>
      <c r="H49" s="6" t="s">
        <v>432</v>
      </c>
      <c r="I49" s="6"/>
      <c r="J49" s="6" t="s">
        <v>37</v>
      </c>
      <c r="K49" s="6" t="s">
        <v>447</v>
      </c>
    </row>
    <row r="50" customFormat="false" ht="46.25" hidden="false" customHeight="false" outlineLevel="0" collapsed="false">
      <c r="A50" s="5" t="s">
        <v>448</v>
      </c>
      <c r="B50" s="5" t="s">
        <v>449</v>
      </c>
      <c r="C50" s="5" t="s">
        <v>408</v>
      </c>
      <c r="D50" s="5" t="s">
        <v>248</v>
      </c>
      <c r="E50" s="5" t="s">
        <v>238</v>
      </c>
      <c r="F50" s="7" t="n">
        <v>0.05</v>
      </c>
      <c r="G50" s="5" t="s">
        <v>33</v>
      </c>
      <c r="H50" s="5" t="s">
        <v>416</v>
      </c>
      <c r="I50" s="5"/>
      <c r="J50" s="5" t="s">
        <v>37</v>
      </c>
      <c r="K50" s="5" t="s">
        <v>450</v>
      </c>
    </row>
    <row r="51" customFormat="false" ht="15" hidden="false" customHeight="false" outlineLevel="0" collapsed="false">
      <c r="A51" s="6" t="s">
        <v>451</v>
      </c>
      <c r="B51" s="6" t="s">
        <v>452</v>
      </c>
      <c r="C51" s="6" t="s">
        <v>408</v>
      </c>
      <c r="D51" s="6" t="s">
        <v>263</v>
      </c>
      <c r="E51" s="6" t="s">
        <v>238</v>
      </c>
      <c r="F51" s="8" t="n">
        <v>0.045</v>
      </c>
      <c r="G51" s="6" t="s">
        <v>33</v>
      </c>
      <c r="H51" s="6" t="s">
        <v>416</v>
      </c>
      <c r="I51" s="6"/>
      <c r="J51" s="6" t="s">
        <v>421</v>
      </c>
      <c r="K51" s="6" t="s">
        <v>241</v>
      </c>
    </row>
    <row r="52" customFormat="false" ht="23.85" hidden="false" customHeight="false" outlineLevel="0" collapsed="false">
      <c r="A52" s="5" t="s">
        <v>453</v>
      </c>
      <c r="B52" s="5" t="s">
        <v>454</v>
      </c>
      <c r="C52" s="5" t="s">
        <v>408</v>
      </c>
      <c r="D52" s="5" t="s">
        <v>263</v>
      </c>
      <c r="E52" s="5" t="s">
        <v>238</v>
      </c>
      <c r="F52" s="7" t="n">
        <v>0.04</v>
      </c>
      <c r="G52" s="5" t="s">
        <v>50</v>
      </c>
      <c r="H52" s="5" t="s">
        <v>455</v>
      </c>
      <c r="I52" s="5"/>
      <c r="J52" s="5" t="s">
        <v>456</v>
      </c>
      <c r="K52" s="5" t="s">
        <v>241</v>
      </c>
    </row>
    <row r="53" customFormat="false" ht="23.85" hidden="false" customHeight="false" outlineLevel="0" collapsed="false">
      <c r="A53" s="6" t="s">
        <v>457</v>
      </c>
      <c r="B53" s="6" t="s">
        <v>458</v>
      </c>
      <c r="C53" s="6" t="s">
        <v>408</v>
      </c>
      <c r="D53" s="6" t="s">
        <v>263</v>
      </c>
      <c r="E53" s="6" t="s">
        <v>306</v>
      </c>
      <c r="F53" s="8" t="n">
        <v>0.04</v>
      </c>
      <c r="G53" s="6" t="s">
        <v>50</v>
      </c>
      <c r="H53" s="6" t="s">
        <v>459</v>
      </c>
      <c r="I53" s="6"/>
      <c r="J53" s="6" t="s">
        <v>460</v>
      </c>
      <c r="K53" s="6" t="s">
        <v>241</v>
      </c>
    </row>
    <row r="54" customFormat="false" ht="46.25" hidden="false" customHeight="false" outlineLevel="0" collapsed="false">
      <c r="A54" s="5" t="s">
        <v>461</v>
      </c>
      <c r="B54" s="5" t="s">
        <v>462</v>
      </c>
      <c r="C54" s="5" t="s">
        <v>408</v>
      </c>
      <c r="D54" s="5" t="s">
        <v>248</v>
      </c>
      <c r="E54" s="5" t="s">
        <v>233</v>
      </c>
      <c r="F54" s="7" t="n">
        <v>0.15</v>
      </c>
      <c r="G54" s="5" t="s">
        <v>33</v>
      </c>
      <c r="H54" s="5" t="s">
        <v>463</v>
      </c>
      <c r="I54" s="5"/>
      <c r="J54" s="5" t="s">
        <v>37</v>
      </c>
      <c r="K54" s="5" t="s">
        <v>464</v>
      </c>
    </row>
    <row r="55" customFormat="false" ht="23.85" hidden="false" customHeight="false" outlineLevel="0" collapsed="false">
      <c r="A55" s="6" t="s">
        <v>465</v>
      </c>
      <c r="B55" s="6" t="s">
        <v>466</v>
      </c>
      <c r="C55" s="6" t="s">
        <v>408</v>
      </c>
      <c r="D55" s="6" t="s">
        <v>248</v>
      </c>
      <c r="E55" s="6" t="s">
        <v>238</v>
      </c>
      <c r="F55" s="8" t="n">
        <v>0.25</v>
      </c>
      <c r="G55" s="6" t="s">
        <v>33</v>
      </c>
      <c r="H55" s="6" t="s">
        <v>467</v>
      </c>
      <c r="I55" s="6"/>
      <c r="J55" s="6" t="s">
        <v>468</v>
      </c>
      <c r="K55" s="6" t="s">
        <v>241</v>
      </c>
    </row>
    <row r="56" customFormat="false" ht="23.85" hidden="false" customHeight="false" outlineLevel="0" collapsed="false">
      <c r="A56" s="5" t="s">
        <v>469</v>
      </c>
      <c r="B56" s="5" t="s">
        <v>470</v>
      </c>
      <c r="C56" s="5" t="s">
        <v>471</v>
      </c>
      <c r="D56" s="5" t="s">
        <v>248</v>
      </c>
      <c r="E56" s="5" t="s">
        <v>233</v>
      </c>
      <c r="F56" s="7" t="n">
        <v>1</v>
      </c>
      <c r="G56" s="5" t="s">
        <v>33</v>
      </c>
      <c r="H56" s="5" t="s">
        <v>472</v>
      </c>
      <c r="I56" s="5"/>
      <c r="J56" s="5" t="s">
        <v>473</v>
      </c>
      <c r="K56" s="5" t="s">
        <v>241</v>
      </c>
    </row>
    <row r="57" customFormat="false" ht="23.85" hidden="false" customHeight="false" outlineLevel="0" collapsed="false">
      <c r="A57" s="6" t="s">
        <v>474</v>
      </c>
      <c r="B57" s="6" t="s">
        <v>475</v>
      </c>
      <c r="C57" s="6" t="s">
        <v>471</v>
      </c>
      <c r="D57" s="6" t="s">
        <v>248</v>
      </c>
      <c r="E57" s="6" t="s">
        <v>233</v>
      </c>
      <c r="F57" s="8" t="n">
        <v>1</v>
      </c>
      <c r="G57" s="6" t="s">
        <v>33</v>
      </c>
      <c r="H57" s="6" t="s">
        <v>472</v>
      </c>
      <c r="I57" s="6"/>
      <c r="J57" s="6" t="s">
        <v>476</v>
      </c>
      <c r="K57" s="6" t="s">
        <v>241</v>
      </c>
    </row>
    <row r="58" customFormat="false" ht="23.85" hidden="false" customHeight="false" outlineLevel="0" collapsed="false">
      <c r="A58" s="5" t="s">
        <v>477</v>
      </c>
      <c r="B58" s="5" t="s">
        <v>478</v>
      </c>
      <c r="C58" s="5" t="s">
        <v>471</v>
      </c>
      <c r="D58" s="5" t="s">
        <v>248</v>
      </c>
      <c r="E58" s="5" t="s">
        <v>362</v>
      </c>
      <c r="F58" s="7" t="n">
        <v>1</v>
      </c>
      <c r="G58" s="5" t="s">
        <v>33</v>
      </c>
      <c r="H58" s="5" t="s">
        <v>479</v>
      </c>
      <c r="I58" s="5"/>
      <c r="J58" s="5" t="s">
        <v>480</v>
      </c>
      <c r="K58" s="5" t="s">
        <v>241</v>
      </c>
    </row>
    <row r="59" customFormat="false" ht="23.85" hidden="false" customHeight="false" outlineLevel="0" collapsed="false">
      <c r="A59" s="6" t="s">
        <v>481</v>
      </c>
      <c r="B59" s="6" t="s">
        <v>482</v>
      </c>
      <c r="C59" s="6" t="s">
        <v>471</v>
      </c>
      <c r="D59" s="6" t="s">
        <v>65</v>
      </c>
      <c r="E59" s="6" t="s">
        <v>233</v>
      </c>
      <c r="F59" s="8" t="n">
        <v>1</v>
      </c>
      <c r="G59" s="6" t="s">
        <v>33</v>
      </c>
      <c r="H59" s="6" t="s">
        <v>483</v>
      </c>
      <c r="I59" s="6"/>
      <c r="J59" s="6" t="s">
        <v>484</v>
      </c>
      <c r="K59" s="6" t="s">
        <v>241</v>
      </c>
    </row>
    <row r="60" customFormat="false" ht="23.85" hidden="false" customHeight="false" outlineLevel="0" collapsed="false">
      <c r="A60" s="5" t="s">
        <v>485</v>
      </c>
      <c r="B60" s="5" t="s">
        <v>486</v>
      </c>
      <c r="C60" s="5" t="s">
        <v>471</v>
      </c>
      <c r="D60" s="5" t="s">
        <v>65</v>
      </c>
      <c r="E60" s="5" t="s">
        <v>233</v>
      </c>
      <c r="F60" s="7" t="n">
        <v>1</v>
      </c>
      <c r="G60" s="5" t="s">
        <v>33</v>
      </c>
      <c r="H60" s="5" t="s">
        <v>483</v>
      </c>
      <c r="I60" s="5"/>
      <c r="J60" s="5" t="s">
        <v>487</v>
      </c>
      <c r="K60" s="5" t="s">
        <v>241</v>
      </c>
    </row>
    <row r="61" customFormat="false" ht="23.85" hidden="false" customHeight="false" outlineLevel="0" collapsed="false">
      <c r="A61" s="6" t="s">
        <v>488</v>
      </c>
      <c r="B61" s="6" t="s">
        <v>489</v>
      </c>
      <c r="C61" s="6" t="s">
        <v>471</v>
      </c>
      <c r="D61" s="6" t="s">
        <v>254</v>
      </c>
      <c r="E61" s="6" t="s">
        <v>233</v>
      </c>
      <c r="F61" s="8" t="n">
        <v>1</v>
      </c>
      <c r="G61" s="6" t="s">
        <v>33</v>
      </c>
      <c r="H61" s="6" t="s">
        <v>483</v>
      </c>
      <c r="I61" s="6"/>
      <c r="J61" s="6" t="s">
        <v>490</v>
      </c>
      <c r="K61" s="6" t="s">
        <v>241</v>
      </c>
    </row>
    <row r="62" customFormat="false" ht="23.85" hidden="false" customHeight="false" outlineLevel="0" collapsed="false">
      <c r="A62" s="5" t="s">
        <v>491</v>
      </c>
      <c r="B62" s="5" t="s">
        <v>492</v>
      </c>
      <c r="C62" s="5" t="s">
        <v>471</v>
      </c>
      <c r="D62" s="5" t="s">
        <v>65</v>
      </c>
      <c r="E62" s="5" t="s">
        <v>362</v>
      </c>
      <c r="F62" s="7" t="n">
        <v>1</v>
      </c>
      <c r="G62" s="5" t="s">
        <v>33</v>
      </c>
      <c r="H62" s="5" t="s">
        <v>493</v>
      </c>
      <c r="I62" s="5"/>
      <c r="J62" s="5" t="s">
        <v>494</v>
      </c>
      <c r="K62" s="5" t="s">
        <v>241</v>
      </c>
    </row>
    <row r="63" customFormat="false" ht="23.85" hidden="false" customHeight="false" outlineLevel="0" collapsed="false">
      <c r="A63" s="6" t="s">
        <v>495</v>
      </c>
      <c r="B63" s="6" t="s">
        <v>496</v>
      </c>
      <c r="C63" s="6" t="s">
        <v>471</v>
      </c>
      <c r="D63" s="6" t="s">
        <v>65</v>
      </c>
      <c r="E63" s="6" t="s">
        <v>233</v>
      </c>
      <c r="F63" s="8" t="n">
        <v>1</v>
      </c>
      <c r="G63" s="6" t="s">
        <v>33</v>
      </c>
      <c r="H63" s="6" t="s">
        <v>497</v>
      </c>
      <c r="I63" s="6"/>
      <c r="J63" s="6" t="s">
        <v>498</v>
      </c>
      <c r="K63" s="6" t="s">
        <v>241</v>
      </c>
    </row>
    <row r="64" customFormat="false" ht="23.85" hidden="false" customHeight="false" outlineLevel="0" collapsed="false">
      <c r="A64" s="5" t="s">
        <v>499</v>
      </c>
      <c r="B64" s="5" t="s">
        <v>500</v>
      </c>
      <c r="C64" s="5" t="s">
        <v>471</v>
      </c>
      <c r="D64" s="5" t="s">
        <v>65</v>
      </c>
      <c r="E64" s="5" t="s">
        <v>233</v>
      </c>
      <c r="F64" s="7" t="n">
        <v>1</v>
      </c>
      <c r="G64" s="5" t="s">
        <v>33</v>
      </c>
      <c r="H64" s="5" t="s">
        <v>497</v>
      </c>
      <c r="I64" s="5"/>
      <c r="J64" s="5" t="s">
        <v>501</v>
      </c>
      <c r="K64" s="5" t="s">
        <v>241</v>
      </c>
    </row>
    <row r="65" customFormat="false" ht="23.85" hidden="false" customHeight="false" outlineLevel="0" collapsed="false">
      <c r="A65" s="6" t="s">
        <v>502</v>
      </c>
      <c r="B65" s="6" t="s">
        <v>503</v>
      </c>
      <c r="C65" s="6" t="s">
        <v>471</v>
      </c>
      <c r="D65" s="6" t="s">
        <v>287</v>
      </c>
      <c r="E65" s="6" t="s">
        <v>233</v>
      </c>
      <c r="F65" s="8" t="n">
        <v>1</v>
      </c>
      <c r="G65" s="6" t="s">
        <v>33</v>
      </c>
      <c r="H65" s="6" t="s">
        <v>504</v>
      </c>
      <c r="I65" s="6"/>
      <c r="J65" s="6" t="s">
        <v>505</v>
      </c>
      <c r="K65" s="6" t="s">
        <v>241</v>
      </c>
    </row>
    <row r="66" customFormat="false" ht="15" hidden="false" customHeight="false" outlineLevel="0" collapsed="false">
      <c r="A66" s="5" t="s">
        <v>506</v>
      </c>
      <c r="B66" s="5" t="s">
        <v>507</v>
      </c>
      <c r="C66" s="5" t="s">
        <v>471</v>
      </c>
      <c r="D66" s="5" t="s">
        <v>65</v>
      </c>
      <c r="E66" s="5" t="s">
        <v>362</v>
      </c>
      <c r="F66" s="7" t="n">
        <v>1</v>
      </c>
      <c r="G66" s="5" t="s">
        <v>33</v>
      </c>
      <c r="H66" s="5" t="s">
        <v>508</v>
      </c>
      <c r="I66" s="5"/>
      <c r="J66" s="5" t="s">
        <v>509</v>
      </c>
      <c r="K66" s="5" t="s">
        <v>241</v>
      </c>
    </row>
  </sheetData>
  <autoFilter ref="A1:K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9" t="s">
        <v>510</v>
      </c>
    </row>
    <row r="3" customFormat="false" ht="15" hidden="false" customHeight="false" outlineLevel="0" collapsed="false">
      <c r="A3" s="10" t="s">
        <v>511</v>
      </c>
      <c r="B3" s="10" t="s">
        <v>512</v>
      </c>
    </row>
    <row r="4" customFormat="false" ht="15" hidden="false" customHeight="false" outlineLevel="0" collapsed="false">
      <c r="A4" s="11" t="s">
        <v>231</v>
      </c>
      <c r="B4" s="11" t="n">
        <f aca="false">COUNTIF(Eventi!$C:$C,A4)</f>
        <v>10</v>
      </c>
    </row>
    <row r="5" customFormat="false" ht="15" hidden="false" customHeight="false" outlineLevel="0" collapsed="false">
      <c r="A5" s="11" t="s">
        <v>280</v>
      </c>
      <c r="B5" s="11" t="n">
        <f aca="false">COUNTIF(Eventi!$C:$C,A5)</f>
        <v>20</v>
      </c>
    </row>
    <row r="6" customFormat="false" ht="15" hidden="false" customHeight="false" outlineLevel="0" collapsed="false">
      <c r="A6" s="11" t="s">
        <v>377</v>
      </c>
      <c r="B6" s="11" t="n">
        <f aca="false">COUNTIF(Eventi!$C:$C,A6)</f>
        <v>7</v>
      </c>
    </row>
    <row r="7" customFormat="false" ht="15" hidden="false" customHeight="false" outlineLevel="0" collapsed="false">
      <c r="A7" s="11" t="s">
        <v>408</v>
      </c>
      <c r="B7" s="11" t="n">
        <f aca="false">COUNTIF(Eventi!$C:$C,A7)</f>
        <v>17</v>
      </c>
    </row>
    <row r="8" customFormat="false" ht="15" hidden="false" customHeight="false" outlineLevel="0" collapsed="false">
      <c r="A8" s="11" t="s">
        <v>471</v>
      </c>
      <c r="B8" s="11" t="n">
        <f aca="false">COUNTIF(Eventi!$C:$C,A8)</f>
        <v>11</v>
      </c>
    </row>
    <row r="9" customFormat="false" ht="15" hidden="false" customHeight="false" outlineLevel="0" collapsed="false">
      <c r="A9" s="12" t="s">
        <v>513</v>
      </c>
      <c r="B9" s="11" t="n">
        <f aca="false">SUM(B4:B8)</f>
        <v>65</v>
      </c>
    </row>
    <row r="10" customFormat="false" ht="15" hidden="false" customHeight="false" outlineLevel="0" collapsed="false">
      <c r="A10" s="11"/>
      <c r="B10" s="11"/>
    </row>
    <row r="11" customFormat="false" ht="15" hidden="false" customHeight="false" outlineLevel="0" collapsed="false">
      <c r="A11" s="10" t="s">
        <v>514</v>
      </c>
      <c r="B11" s="10" t="s">
        <v>512</v>
      </c>
    </row>
    <row r="12" customFormat="false" ht="15" hidden="false" customHeight="false" outlineLevel="0" collapsed="false">
      <c r="A12" s="11" t="s">
        <v>31</v>
      </c>
      <c r="B12" s="11" t="n">
        <f aca="false">COUNTIF(Task!$C:$C,A12)</f>
        <v>10</v>
      </c>
    </row>
    <row r="13" customFormat="false" ht="15" hidden="false" customHeight="false" outlineLevel="0" collapsed="false">
      <c r="A13" s="11" t="s">
        <v>57</v>
      </c>
      <c r="B13" s="11" t="n">
        <f aca="false">COUNTIF(Task!$C:$C,A13)</f>
        <v>9</v>
      </c>
    </row>
    <row r="14" customFormat="false" ht="15" hidden="false" customHeight="false" outlineLevel="0" collapsed="false">
      <c r="A14" s="11" t="s">
        <v>49</v>
      </c>
      <c r="B14" s="11" t="n">
        <f aca="false">COUNTIF(Task!$C:$C,A14)</f>
        <v>5</v>
      </c>
    </row>
    <row r="15" customFormat="false" ht="15" hidden="false" customHeight="false" outlineLevel="0" collapsed="false">
      <c r="A15" s="11" t="s">
        <v>80</v>
      </c>
      <c r="B15" s="11" t="n">
        <f aca="false">COUNTIF(Task!$C:$C,A15)</f>
        <v>3</v>
      </c>
    </row>
    <row r="16" customFormat="false" ht="15" hidden="false" customHeight="false" outlineLevel="0" collapsed="false">
      <c r="A16" s="11" t="s">
        <v>65</v>
      </c>
      <c r="B16" s="11" t="n">
        <f aca="false">COUNTIF(Task!$C:$C,A16)</f>
        <v>5</v>
      </c>
    </row>
    <row r="17" customFormat="false" ht="15" hidden="false" customHeight="false" outlineLevel="0" collapsed="false">
      <c r="A17" s="11" t="s">
        <v>74</v>
      </c>
      <c r="B17" s="11" t="n">
        <f aca="false">COUNTIF(Task!$C:$C,A17)</f>
        <v>2</v>
      </c>
    </row>
    <row r="18" customFormat="false" ht="15" hidden="false" customHeight="false" outlineLevel="0" collapsed="false">
      <c r="A18" s="12" t="s">
        <v>515</v>
      </c>
      <c r="B18" s="11" t="n">
        <f aca="false">SUM(B12:B17)</f>
        <v>34</v>
      </c>
    </row>
    <row r="19" customFormat="false" ht="15" hidden="false" customHeight="false" outlineLevel="0" collapsed="false">
      <c r="A19" s="11"/>
      <c r="B19" s="11"/>
    </row>
    <row r="20" customFormat="false" ht="15" hidden="false" customHeight="false" outlineLevel="0" collapsed="false">
      <c r="A20" s="10" t="s">
        <v>516</v>
      </c>
      <c r="B20" s="10" t="s">
        <v>512</v>
      </c>
    </row>
    <row r="21" customFormat="false" ht="15" hidden="false" customHeight="false" outlineLevel="0" collapsed="false">
      <c r="A21" s="11" t="s">
        <v>517</v>
      </c>
      <c r="B21" s="11" t="n">
        <f aca="false">COUNTIF(Task!$L:$L,"una volta")</f>
        <v>9</v>
      </c>
    </row>
    <row r="22" customFormat="false" ht="15" hidden="false" customHeight="false" outlineLevel="0" collapsed="false">
      <c r="A22" s="11" t="s">
        <v>518</v>
      </c>
      <c r="B22" s="11" t="n">
        <f aca="false">COUNTIF(Task!$L:$L,"sempre")</f>
        <v>1</v>
      </c>
    </row>
    <row r="23" customFormat="false" ht="15" hidden="false" customHeight="false" outlineLevel="0" collapsed="false">
      <c r="A23" s="11" t="s">
        <v>519</v>
      </c>
      <c r="B23" s="11" t="n">
        <f aca="false">COUNT(Task!$L:$L)</f>
        <v>24</v>
      </c>
    </row>
    <row r="24" customFormat="false" ht="15" hidden="false" customHeight="false" outlineLevel="0" collapsed="false">
      <c r="A24" s="11" t="s">
        <v>520</v>
      </c>
      <c r="B24" s="11" t="n">
        <f aca="false">COUNTIF(Task!$M:$M,"dal primo giorno")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2026-10-07T08:57:00Z</dcterms:created>
  <dc:creator>openpyxl</dc:creator>
  <dc:description/>
  <dc:language>en-US</dc:language>
  <cp:lastModifiedBy/>
  <dcterms:modified xsi:type="dcterms:W3CDTF">2026-10-07T08:57:00Z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